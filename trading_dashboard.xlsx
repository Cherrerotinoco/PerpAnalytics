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137046/dev/personal/tradesConverter/"/>
    </mc:Choice>
  </mc:AlternateContent>
  <xr:revisionPtr revIDLastSave="0" documentId="13_ncr:1_{7B7242D9-BFB6-AD43-AC3A-DA4485743734}" xr6:coauthVersionLast="47" xr6:coauthVersionMax="47" xr10:uidLastSave="{00000000-0000-0000-0000-000000000000}"/>
  <bookViews>
    <workbookView xWindow="0" yWindow="660" windowWidth="30240" windowHeight="18980" xr2:uid="{D5D2894E-33E4-4E3F-AED0-8A1B369B8072}"/>
  </bookViews>
  <sheets>
    <sheet name="Main" sheetId="2" r:id="rId1"/>
    <sheet name="dat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7" i="2" l="1" a="1"/>
  <c r="H7" i="2" s="1"/>
  <c r="E7" i="2"/>
  <c r="C59" i="3"/>
  <c r="C58" i="3"/>
  <c r="C57" i="3"/>
  <c r="P58" i="3"/>
  <c r="P57" i="3"/>
  <c r="P59" i="3"/>
  <c r="L57" i="3"/>
  <c r="L58" i="3"/>
  <c r="L59" i="3"/>
  <c r="K57" i="3"/>
  <c r="K58" i="3"/>
  <c r="K59" i="3"/>
  <c r="D57" i="3"/>
  <c r="D58" i="3"/>
  <c r="D59" i="3"/>
  <c r="C7" i="3"/>
  <c r="P7" i="3" s="1"/>
  <c r="K56" i="3"/>
  <c r="L56" i="3" s="1"/>
  <c r="D56" i="3"/>
  <c r="D55" i="3"/>
  <c r="K55" i="3"/>
  <c r="L55" i="3" s="1"/>
  <c r="K54" i="3"/>
  <c r="L54" i="3" s="1"/>
  <c r="D54" i="3"/>
  <c r="C12" i="2"/>
  <c r="A12" i="2"/>
  <c r="B12" i="2"/>
  <c r="C7" i="2"/>
  <c r="K53" i="3"/>
  <c r="L53" i="3" s="1"/>
  <c r="K52" i="3"/>
  <c r="L52" i="3" s="1"/>
  <c r="K51" i="3"/>
  <c r="L51" i="3" s="1"/>
  <c r="D53" i="3"/>
  <c r="D52" i="3"/>
  <c r="D51" i="3"/>
  <c r="P6" i="3"/>
  <c r="K50" i="3"/>
  <c r="L50" i="3" s="1"/>
  <c r="D50" i="3"/>
  <c r="K49" i="3"/>
  <c r="L49" i="3" s="1"/>
  <c r="D49" i="3"/>
  <c r="J7" i="2"/>
  <c r="K7" i="2" a="1"/>
  <c r="K7" i="2" s="1"/>
  <c r="D7" i="2" a="1"/>
  <c r="D7" i="2" s="1"/>
  <c r="D12" i="2"/>
  <c r="E12" i="2"/>
  <c r="G12" i="2" a="1"/>
  <c r="G12" i="2" s="1"/>
  <c r="F12" i="2" a="1"/>
  <c r="F12" i="2" s="1"/>
  <c r="I7" i="2" a="1"/>
  <c r="I7" i="2" s="1"/>
  <c r="G7" i="2" a="1"/>
  <c r="G7" i="2" s="1"/>
  <c r="F7" i="2" a="1"/>
  <c r="F7" i="2" s="1"/>
  <c r="A7" i="2"/>
  <c r="K45" i="3"/>
  <c r="L45" i="3" s="1"/>
  <c r="K46" i="3"/>
  <c r="L46" i="3" s="1"/>
  <c r="K47" i="3"/>
  <c r="L47" i="3" s="1"/>
  <c r="K48" i="3"/>
  <c r="L48" i="3" s="1"/>
  <c r="D45" i="3"/>
  <c r="D46" i="3"/>
  <c r="D47" i="3"/>
  <c r="D48" i="3"/>
  <c r="K43" i="3"/>
  <c r="L43" i="3" s="1"/>
  <c r="D36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7" i="3"/>
  <c r="D38" i="3"/>
  <c r="D39" i="3"/>
  <c r="D40" i="3"/>
  <c r="D41" i="3"/>
  <c r="D42" i="3"/>
  <c r="D43" i="3"/>
  <c r="D44" i="3"/>
  <c r="K44" i="3"/>
  <c r="L44" i="3" s="1"/>
  <c r="K42" i="3"/>
  <c r="L42" i="3" s="1"/>
  <c r="K41" i="3"/>
  <c r="L41" i="3" s="1"/>
  <c r="K40" i="3"/>
  <c r="L40" i="3" s="1"/>
  <c r="K39" i="3"/>
  <c r="L39" i="3" s="1"/>
  <c r="K38" i="3"/>
  <c r="L38" i="3" s="1"/>
  <c r="K37" i="3"/>
  <c r="L37" i="3" s="1"/>
  <c r="K6" i="3"/>
  <c r="L6" i="3" s="1"/>
  <c r="K10" i="3"/>
  <c r="L10" i="3" s="1"/>
  <c r="K9" i="3"/>
  <c r="L9" i="3" s="1"/>
  <c r="K11" i="3"/>
  <c r="L11" i="3" s="1"/>
  <c r="K12" i="3"/>
  <c r="L12" i="3" s="1"/>
  <c r="K13" i="3"/>
  <c r="L13" i="3" s="1"/>
  <c r="K14" i="3"/>
  <c r="L14" i="3" s="1"/>
  <c r="K16" i="3"/>
  <c r="L16" i="3" s="1"/>
  <c r="K15" i="3"/>
  <c r="L15" i="3" s="1"/>
  <c r="K17" i="3"/>
  <c r="L17" i="3" s="1"/>
  <c r="K20" i="3"/>
  <c r="L20" i="3" s="1"/>
  <c r="K21" i="3"/>
  <c r="L21" i="3" s="1"/>
  <c r="K19" i="3"/>
  <c r="L19" i="3" s="1"/>
  <c r="K18" i="3"/>
  <c r="L18" i="3" s="1"/>
  <c r="K22" i="3"/>
  <c r="L22" i="3" s="1"/>
  <c r="K27" i="3"/>
  <c r="L27" i="3" s="1"/>
  <c r="K24" i="3"/>
  <c r="L24" i="3" s="1"/>
  <c r="K28" i="3"/>
  <c r="L28" i="3" s="1"/>
  <c r="K25" i="3"/>
  <c r="L25" i="3" s="1"/>
  <c r="K26" i="3"/>
  <c r="L26" i="3" s="1"/>
  <c r="K30" i="3"/>
  <c r="L30" i="3" s="1"/>
  <c r="K23" i="3"/>
  <c r="L23" i="3" s="1"/>
  <c r="K31" i="3"/>
  <c r="L31" i="3" s="1"/>
  <c r="K29" i="3"/>
  <c r="L29" i="3" s="1"/>
  <c r="K8" i="3"/>
  <c r="L8" i="3" s="1"/>
  <c r="K32" i="3"/>
  <c r="L32" i="3" s="1"/>
  <c r="K33" i="3"/>
  <c r="L33" i="3" s="1"/>
  <c r="K34" i="3"/>
  <c r="L34" i="3" s="1"/>
  <c r="K35" i="3"/>
  <c r="L35" i="3" s="1"/>
  <c r="K36" i="3"/>
  <c r="L36" i="3" s="1"/>
  <c r="K7" i="3"/>
  <c r="L7" i="3" s="1"/>
  <c r="C8" i="3" l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l="1"/>
  <c r="C55" i="3" s="1"/>
  <c r="C56" i="3" s="1"/>
  <c r="P8" i="3"/>
  <c r="P9" i="3"/>
  <c r="P10" i="3" l="1"/>
  <c r="P11" i="3"/>
  <c r="P12" i="3" l="1"/>
  <c r="P13" i="3" l="1"/>
  <c r="P14" i="3" l="1"/>
  <c r="P15" i="3" l="1"/>
  <c r="P16" i="3" l="1"/>
  <c r="P17" i="3" l="1"/>
  <c r="P18" i="3" l="1"/>
  <c r="P19" i="3" l="1"/>
  <c r="P20" i="3" l="1"/>
  <c r="P21" i="3" l="1"/>
  <c r="P22" i="3" l="1"/>
  <c r="P23" i="3" l="1"/>
  <c r="P24" i="3" l="1"/>
  <c r="P25" i="3" l="1"/>
  <c r="P26" i="3" l="1"/>
  <c r="P27" i="3" l="1"/>
  <c r="P28" i="3" l="1"/>
  <c r="P29" i="3" l="1"/>
  <c r="P30" i="3" l="1"/>
  <c r="P31" i="3" l="1"/>
  <c r="P32" i="3" l="1"/>
  <c r="P33" i="3" l="1"/>
  <c r="P34" i="3" l="1"/>
  <c r="P35" i="3" l="1"/>
  <c r="P36" i="3" l="1"/>
  <c r="P37" i="3" l="1"/>
  <c r="P38" i="3" l="1"/>
  <c r="P39" i="3" l="1"/>
  <c r="P40" i="3" l="1"/>
  <c r="P41" i="3" l="1"/>
  <c r="P42" i="3" l="1"/>
  <c r="P43" i="3" l="1"/>
  <c r="P44" i="3" l="1"/>
  <c r="P45" i="3" l="1"/>
  <c r="P46" i="3" l="1"/>
  <c r="P47" i="3" l="1"/>
  <c r="P48" i="3" l="1"/>
  <c r="P49" i="3" l="1"/>
  <c r="P50" i="3" l="1"/>
  <c r="P51" i="3" l="1"/>
  <c r="P52" i="3" l="1"/>
  <c r="P54" i="3" l="1"/>
  <c r="P53" i="3"/>
  <c r="P55" i="3" l="1"/>
  <c r="P56" i="3" l="1"/>
  <c r="B7" i="2" l="1" a="1"/>
  <c r="B7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<sst xmlns="http://schemas.openxmlformats.org/spreadsheetml/2006/main" count="306" uniqueCount="49">
  <si>
    <t>Date</t>
  </si>
  <si>
    <t>Result</t>
  </si>
  <si>
    <t>Operaciones Totales</t>
  </si>
  <si>
    <t>Operaciones ganadas</t>
  </si>
  <si>
    <t>Máximo ganado</t>
  </si>
  <si>
    <t>Operaciones perdidas</t>
  </si>
  <si>
    <t>% Operaciones ganadas</t>
  </si>
  <si>
    <t>% Operaciones perdidas</t>
  </si>
  <si>
    <t xml:space="preserve">D A S H B O A R D </t>
  </si>
  <si>
    <t>Promedio</t>
  </si>
  <si>
    <t>Profit factor</t>
  </si>
  <si>
    <t>Opening time</t>
  </si>
  <si>
    <t>Closing time</t>
  </si>
  <si>
    <t>Duration</t>
  </si>
  <si>
    <t>Size</t>
  </si>
  <si>
    <t>Month</t>
  </si>
  <si>
    <t>Days</t>
  </si>
  <si>
    <t>Won</t>
  </si>
  <si>
    <t>Closing Type</t>
  </si>
  <si>
    <t>Side</t>
  </si>
  <si>
    <t>Fees (USD)</t>
  </si>
  <si>
    <t>Symbol</t>
  </si>
  <si>
    <t>long</t>
  </si>
  <si>
    <t>TP</t>
  </si>
  <si>
    <t>BTC</t>
  </si>
  <si>
    <t>short</t>
  </si>
  <si>
    <t>SL</t>
  </si>
  <si>
    <t>ETH</t>
  </si>
  <si>
    <t>TAO</t>
  </si>
  <si>
    <t>Hours</t>
  </si>
  <si>
    <t>Cumulative result</t>
  </si>
  <si>
    <t>jueves</t>
  </si>
  <si>
    <t>abril</t>
  </si>
  <si>
    <t>martes</t>
  </si>
  <si>
    <t>mayo</t>
  </si>
  <si>
    <t>miércoles</t>
  </si>
  <si>
    <t>viernes</t>
  </si>
  <si>
    <t>domingo</t>
  </si>
  <si>
    <t>lunes</t>
  </si>
  <si>
    <t>Resultado Historico</t>
  </si>
  <si>
    <t>Resultado Diario</t>
  </si>
  <si>
    <t>sábado</t>
  </si>
  <si>
    <t>Manual</t>
  </si>
  <si>
    <t>Máxima perdida</t>
  </si>
  <si>
    <t>Risk/Reward</t>
  </si>
  <si>
    <t>Expectancy</t>
  </si>
  <si>
    <t>Capital inicial</t>
  </si>
  <si>
    <t>Equity</t>
  </si>
  <si>
    <t>Equity curve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</si>
</sst>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_-[$$-540A]* #,##0.00_ ;_-[$$-540A]* \-#,##0.00\ ;_-[$$-540A]* &quot;-&quot;??_ ;_-@_ "/>
    <numFmt numFmtId="165" formatCode="0.0"/>
    <numFmt numFmtId="166" formatCode="h:mm:ss"/>
    <numFmt numFmtId="167" formatCode="d/m/yy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entury Gothic"/>
      <family val="2"/>
    </font>
    <font>
      <b/>
      <sz val="16"/>
      <color theme="0"/>
      <name val="Century Gothic"/>
      <family val="2"/>
    </font>
    <font>
      <b/>
      <sz val="24"/>
      <color theme="0"/>
      <name val="Century Gothic"/>
      <family val="2"/>
    </font>
    <font>
      <b/>
      <sz val="36"/>
      <color theme="0"/>
      <name val="Century Gothic"/>
      <family val="2"/>
    </font>
    <font>
      <sz val="24"/>
      <color theme="1"/>
      <name val="Century Gothic"/>
      <family val="2"/>
    </font>
    <font>
      <b/>
      <sz val="24"/>
      <color theme="4" tint="-0.249977111117893"/>
      <name val="Century Gothic"/>
      <family val="2"/>
    </font>
    <font>
      <b/>
      <sz val="48"/>
      <color theme="4" tint="-0.249977111117893"/>
      <name val="Century Gothic"/>
      <family val="2"/>
    </font>
    <font>
      <sz val="24"/>
      <color rgb="FF5F5F5F"/>
      <name val="Century Gothic"/>
      <family val="2"/>
    </font>
    <font>
      <sz val="8"/>
      <name val="Aptos Narrow"/>
      <family val="2"/>
      <scheme val="minor"/>
    </font>
    <font>
      <sz val="12"/>
      <color theme="1"/>
      <name val="Century Gothic"/>
      <family val="1"/>
    </font>
    <font>
      <b/>
      <sz val="12"/>
      <color theme="0"/>
      <name val="Century Gothic"/>
      <family val="1"/>
    </font>
    <font>
      <sz val="10"/>
      <color theme="1"/>
      <name val="Arial"/>
      <family val="2"/>
    </font>
    <font>
      <b/>
      <sz val="11"/>
      <color theme="1"/>
      <name val="Century Gothic"/>
      <family val="1"/>
    </font>
    <font>
      <b/>
      <sz val="12"/>
      <color theme="1"/>
      <name val="Century Gothic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5F5F5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9" fontId="9" fillId="0" borderId="0" xfId="2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9" fontId="4" fillId="4" borderId="0" xfId="2" applyFont="1" applyFill="1" applyAlignment="1">
      <alignment horizontal="center" vertical="center" wrapText="1"/>
    </xf>
    <xf numFmtId="2" fontId="4" fillId="4" borderId="0" xfId="1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14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21" fontId="11" fillId="0" borderId="0" xfId="0" applyNumberFormat="1" applyFont="1" applyAlignment="1">
      <alignment horizontal="center"/>
    </xf>
    <xf numFmtId="0" fontId="12" fillId="2" borderId="0" xfId="0" applyFont="1" applyFill="1" applyAlignment="1">
      <alignment horizontal="center" vertical="center"/>
    </xf>
    <xf numFmtId="165" fontId="11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 vertical="center"/>
    </xf>
    <xf numFmtId="167" fontId="11" fillId="0" borderId="0" xfId="0" applyNumberFormat="1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vertical="center"/>
    </xf>
    <xf numFmtId="22" fontId="13" fillId="0" borderId="0" xfId="0" applyNumberFormat="1" applyFont="1"/>
    <xf numFmtId="14" fontId="4" fillId="4" borderId="0" xfId="2" applyNumberFormat="1" applyFont="1" applyFill="1" applyAlignment="1">
      <alignment horizontal="center" vertical="center" wrapText="1"/>
    </xf>
    <xf numFmtId="14" fontId="9" fillId="0" borderId="0" xfId="2" applyNumberFormat="1" applyFont="1" applyAlignment="1">
      <alignment horizontal="center" vertical="center" wrapText="1"/>
    </xf>
    <xf numFmtId="2" fontId="4" fillId="4" borderId="0" xfId="2" applyNumberFormat="1" applyFont="1" applyFill="1" applyAlignment="1">
      <alignment horizontal="center" vertical="center" wrapText="1"/>
    </xf>
    <xf numFmtId="2" fontId="9" fillId="0" borderId="0" xfId="2" applyNumberFormat="1" applyFont="1" applyAlignment="1">
      <alignment horizontal="center" vertical="center" wrapText="1"/>
    </xf>
    <xf numFmtId="10" fontId="7" fillId="0" borderId="0" xfId="1" applyNumberFormat="1" applyFont="1" applyAlignment="1">
      <alignment horizontal="center" vertical="center" wrapText="1"/>
    </xf>
    <xf numFmtId="10" fontId="11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22" fontId="11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1" fillId="0" borderId="0" xfId="0" applyNumberFormat="1" applyFont="1" applyAlignment="1">
      <alignment horizontal="center" vertical="center"/>
    </xf>
  </cellXfs>
  <cellStyles count="3">
    <cellStyle name="Currency" xfId="1" builtinId="4"/>
    <cellStyle name="Normal" xfId="0" builtinId="0"/>
    <cellStyle name="Per cent" xfId="2" builtinId="5"/>
  </cellStyles>
  <dxfs count="22">
    <dxf>
      <font>
        <color rgb="FFC00000"/>
      </font>
      <fill>
        <patternFill>
          <bgColor rgb="FFFFCC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color rgb="FFC00000"/>
      </font>
      <fill>
        <patternFill>
          <bgColor rgb="FFFFCCCC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  <numFmt numFmtId="165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  <numFmt numFmtId="166" formatCode="h:mm:ss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  <numFmt numFmtId="167" formatCode="d/m/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  <numFmt numFmtId="167" formatCode="d/m/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  <numFmt numFmtId="167" formatCode="d/m/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0"/>
        <name val="Century Gothic"/>
        <family val="1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CCCC"/>
      <color rgb="FF5F5F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en-US"/>
              <a:t>PNL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data!$C$6:$C$59</c:f>
              <c:numCache>
                <c:formatCode>General</c:formatCode>
                <c:ptCount val="54"/>
                <c:pt idx="0">
                  <c:v>1.69</c:v>
                </c:pt>
                <c:pt idx="1">
                  <c:v>4.21</c:v>
                </c:pt>
                <c:pt idx="2">
                  <c:v>9.09</c:v>
                </c:pt>
                <c:pt idx="3">
                  <c:v>8.2099999999999991</c:v>
                </c:pt>
                <c:pt idx="4">
                  <c:v>7.7399999999999993</c:v>
                </c:pt>
                <c:pt idx="5">
                  <c:v>5.7899999999999991</c:v>
                </c:pt>
                <c:pt idx="6">
                  <c:v>5.0399999999999991</c:v>
                </c:pt>
                <c:pt idx="7">
                  <c:v>6.629999999999999</c:v>
                </c:pt>
                <c:pt idx="8">
                  <c:v>10.259999999999998</c:v>
                </c:pt>
                <c:pt idx="9">
                  <c:v>9.2699999999999978</c:v>
                </c:pt>
                <c:pt idx="10">
                  <c:v>8.7999999999999972</c:v>
                </c:pt>
                <c:pt idx="11">
                  <c:v>8.9199999999999964</c:v>
                </c:pt>
                <c:pt idx="12">
                  <c:v>10.179999999999996</c:v>
                </c:pt>
                <c:pt idx="13">
                  <c:v>9.0599999999999952</c:v>
                </c:pt>
                <c:pt idx="14">
                  <c:v>8.4899999999999949</c:v>
                </c:pt>
                <c:pt idx="15">
                  <c:v>8.4299999999999944</c:v>
                </c:pt>
                <c:pt idx="16">
                  <c:v>10.659999999999995</c:v>
                </c:pt>
                <c:pt idx="17">
                  <c:v>6.2399999999999949</c:v>
                </c:pt>
                <c:pt idx="18">
                  <c:v>5.1899999999999951</c:v>
                </c:pt>
                <c:pt idx="19">
                  <c:v>4.5299999999999949</c:v>
                </c:pt>
                <c:pt idx="20">
                  <c:v>5.3299999999999947</c:v>
                </c:pt>
                <c:pt idx="21">
                  <c:v>6.6999999999999948</c:v>
                </c:pt>
                <c:pt idx="22">
                  <c:v>9.4599999999999937</c:v>
                </c:pt>
                <c:pt idx="23">
                  <c:v>5.9999999999999938</c:v>
                </c:pt>
                <c:pt idx="24">
                  <c:v>4.449999999999994</c:v>
                </c:pt>
                <c:pt idx="25">
                  <c:v>10.699999999999994</c:v>
                </c:pt>
                <c:pt idx="26">
                  <c:v>24.379999999999995</c:v>
                </c:pt>
                <c:pt idx="27">
                  <c:v>17.409999999999997</c:v>
                </c:pt>
                <c:pt idx="28">
                  <c:v>20.559999999999995</c:v>
                </c:pt>
                <c:pt idx="29">
                  <c:v>23.959999999999994</c:v>
                </c:pt>
                <c:pt idx="30">
                  <c:v>21.639999999999993</c:v>
                </c:pt>
                <c:pt idx="31">
                  <c:v>26.789999999999992</c:v>
                </c:pt>
                <c:pt idx="32">
                  <c:v>23.959999999999994</c:v>
                </c:pt>
                <c:pt idx="33">
                  <c:v>18.529999999999994</c:v>
                </c:pt>
                <c:pt idx="34">
                  <c:v>17.919999999999995</c:v>
                </c:pt>
                <c:pt idx="35">
                  <c:v>23.399999999999995</c:v>
                </c:pt>
                <c:pt idx="36">
                  <c:v>20.009999999999994</c:v>
                </c:pt>
                <c:pt idx="37">
                  <c:v>14.619999999999994</c:v>
                </c:pt>
                <c:pt idx="38">
                  <c:v>16.009999999999994</c:v>
                </c:pt>
                <c:pt idx="39">
                  <c:v>21.229999999999993</c:v>
                </c:pt>
                <c:pt idx="40">
                  <c:v>21.079999999999995</c:v>
                </c:pt>
                <c:pt idx="41">
                  <c:v>19.209999999999994</c:v>
                </c:pt>
                <c:pt idx="42">
                  <c:v>17.499999999999993</c:v>
                </c:pt>
                <c:pt idx="43">
                  <c:v>16.059999999999992</c:v>
                </c:pt>
                <c:pt idx="44">
                  <c:v>19.519999999999992</c:v>
                </c:pt>
                <c:pt idx="45">
                  <c:v>18.119999999999994</c:v>
                </c:pt>
                <c:pt idx="46">
                  <c:v>16.349999999999994</c:v>
                </c:pt>
                <c:pt idx="47">
                  <c:v>13.409999999999995</c:v>
                </c:pt>
                <c:pt idx="48">
                  <c:v>12.089999999999995</c:v>
                </c:pt>
                <c:pt idx="49">
                  <c:v>11.059999999999995</c:v>
                </c:pt>
                <c:pt idx="50">
                  <c:v>9.3299999999999947</c:v>
                </c:pt>
                <c:pt idx="51">
                  <c:v>10.009999999999994</c:v>
                </c:pt>
                <c:pt idx="52">
                  <c:v>8.779999999999994</c:v>
                </c:pt>
                <c:pt idx="53">
                  <c:v>0.96999999999999442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21-F545-B032-11B0F813037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69481408"/>
        <c:axId val="1469492160"/>
      </c:lineChart>
      <c:catAx>
        <c:axId val="1469481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469492160"/>
        <c:crosses val="autoZero"/>
        <c:auto val="1"/>
        <c:lblAlgn val="ctr"/>
        <c:lblOffset val="100"/>
        <c:noMultiLvlLbl val="0"/>
      </c:catAx>
      <c:valAx>
        <c:axId val="14694921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69481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15680</xdr:colOff>
      <xdr:row>17</xdr:row>
      <xdr:rowOff>0</xdr:rowOff>
    </xdr:from>
    <xdr:to>
      <xdr:col>10</xdr:col>
      <xdr:colOff>2304815</xdr:colOff>
      <xdr:row>35</xdr:row>
      <xdr:rowOff>125431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A01F4F4-D94C-4EE7-8DBE-188E427AFF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38E732-C371-4531-BB47-773E6CCADB94}" name="Data" displayName="Data" ref="A5:P59" totalsRowShown="0" headerRowDxfId="21" dataDxfId="20">
  <autoFilter ref="A5:P59" xr:uid="{C638E732-C371-4531-BB47-773E6CCADB94}"/>
  <sortState xmlns:xlrd2="http://schemas.microsoft.com/office/spreadsheetml/2017/richdata2" ref="A6:O36">
    <sortCondition ref="A5:A36"/>
  </sortState>
  <tableColumns count="16">
    <tableColumn id="1" xr3:uid="{A00B1E7C-475E-47F0-A28C-F83813421E42}" name="Date" dataDxfId="19"/>
    <tableColumn id="2" xr3:uid="{BB12FB82-22E6-4767-A5B4-3E543DE2BF9A}" name="Result" dataDxfId="18"/>
    <tableColumn id="19" xr3:uid="{556CF6E6-7F01-534F-B4B2-BEE080FE1246}" name="Cumulative result" dataDxfId="3">
      <calculatedColumnFormula>C5+Data[[#This Row],[Result]]</calculatedColumnFormula>
    </tableColumn>
    <tableColumn id="4" xr3:uid="{286082A2-6A15-4E81-82DC-7BB305E7EBB7}" name="Won" dataDxfId="17">
      <calculatedColumnFormula>IF(Data[[#This Row],[Result]]&gt;1,1,0)</calculatedColumnFormula>
    </tableColumn>
    <tableColumn id="6" xr3:uid="{E00FC339-ADBB-46B3-8682-B1BCDF878EAC}" name="Days" dataDxfId="16"/>
    <tableColumn id="12" xr3:uid="{02B3319D-C50C-464B-BC36-4EBBAC056828}" name="Month" dataDxfId="15"/>
    <tableColumn id="7" xr3:uid="{F416BE6A-0E53-44AD-B92A-54BA8F0CB6D7}" name="Side" dataDxfId="14"/>
    <tableColumn id="8" xr3:uid="{80043AFA-489C-4F46-8862-8736710CF4C5}" name="Opening time" dataDxfId="13"/>
    <tableColumn id="9" xr3:uid="{6D28781A-A910-496B-AC24-CAB64B99BDFD}" name="Closing time" dataDxfId="12"/>
    <tableColumn id="14" xr3:uid="{49E63867-F1DB-4FDF-9161-270EFB4680AA}" name="Closing Type" dataDxfId="11"/>
    <tableColumn id="10" xr3:uid="{0AAC5D88-9CD0-430E-AF01-A84AD79D1F61}" name="Duration" dataDxfId="10">
      <calculatedColumnFormula>Data[[#This Row],[Closing time]]-Data[[#This Row],[Opening time]]</calculatedColumnFormula>
    </tableColumn>
    <tableColumn id="17" xr3:uid="{9D3C2838-B3D1-C94B-BE31-CF685F6F41B1}" name="Hours" dataDxfId="9">
      <calculatedColumnFormula>Data[[#This Row],[Duration]]*24</calculatedColumnFormula>
    </tableColumn>
    <tableColumn id="11" xr3:uid="{EE5C31BC-798C-4954-BF98-267CE6B6BAD9}" name="Size" dataDxfId="8"/>
    <tableColumn id="5" xr3:uid="{7DBB253F-A4AD-BD48-8A17-572FA5BA4FE3}" name="Fees (USD)" dataDxfId="7"/>
    <tableColumn id="15" xr3:uid="{F155BD50-C2B0-D549-8965-D9B060E0DEBD}" name="Symbol" dataDxfId="6"/>
    <tableColumn id="3" xr3:uid="{EBF7E900-60AB-654F-9AB3-95547A90642C}" name="Equity" dataDxfId="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9B3D12B-1DFB-B64A-AD5E-2872111DE8AD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9856a1fb-2d13-4169-b83d-7a99d7737f5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9CC95-79C3-443A-86A7-63F9EC1449F6}">
  <dimension ref="A1:K35"/>
  <sheetViews>
    <sheetView tabSelected="1" topLeftCell="A3" zoomScale="70" zoomScaleNormal="70" workbookViewId="0">
      <selection activeCell="F39" sqref="F39"/>
    </sheetView>
  </sheetViews>
  <sheetFormatPr baseColWidth="10" defaultColWidth="11.5" defaultRowHeight="14" x14ac:dyDescent="0.2"/>
  <cols>
    <col min="1" max="1" width="55.83203125" style="1" bestFit="1" customWidth="1"/>
    <col min="2" max="2" width="24.5" style="1" bestFit="1" customWidth="1"/>
    <col min="3" max="3" width="18.5" style="1" bestFit="1" customWidth="1"/>
    <col min="4" max="4" width="21" style="1" customWidth="1"/>
    <col min="5" max="5" width="22.6640625" style="1" bestFit="1" customWidth="1"/>
    <col min="6" max="6" width="25" style="1" bestFit="1" customWidth="1"/>
    <col min="7" max="7" width="24.83203125" style="1" bestFit="1" customWidth="1"/>
    <col min="8" max="8" width="27.5" style="1" bestFit="1" customWidth="1"/>
    <col min="9" max="9" width="27.33203125" style="1" bestFit="1" customWidth="1"/>
    <col min="10" max="10" width="27.1640625" style="1" customWidth="1"/>
    <col min="11" max="11" width="30.5" style="1" customWidth="1"/>
    <col min="12" max="16384" width="11.5" style="1"/>
  </cols>
  <sheetData>
    <row r="1" spans="1:11" ht="14" customHeight="1" x14ac:dyDescent="0.2">
      <c r="A1" s="33" t="s">
        <v>8</v>
      </c>
      <c r="B1" s="33"/>
      <c r="C1" s="33"/>
      <c r="D1" s="33"/>
      <c r="E1" s="33"/>
      <c r="F1" s="33"/>
      <c r="G1" s="33"/>
      <c r="H1" s="33"/>
      <c r="I1" s="33"/>
      <c r="J1" s="34"/>
      <c r="K1" s="34"/>
    </row>
    <row r="2" spans="1:11" ht="14" customHeight="1" x14ac:dyDescent="0.2">
      <c r="A2" s="33"/>
      <c r="B2" s="33"/>
      <c r="C2" s="33"/>
      <c r="D2" s="33"/>
      <c r="E2" s="33"/>
      <c r="F2" s="33"/>
      <c r="G2" s="33"/>
      <c r="H2" s="33"/>
      <c r="I2" s="33"/>
      <c r="J2" s="34"/>
      <c r="K2" s="34"/>
    </row>
    <row r="3" spans="1:11" ht="14" customHeight="1" x14ac:dyDescent="0.2">
      <c r="A3" s="33"/>
      <c r="B3" s="33"/>
      <c r="C3" s="33"/>
      <c r="D3" s="33"/>
      <c r="E3" s="33"/>
      <c r="F3" s="33"/>
      <c r="G3" s="33"/>
      <c r="H3" s="33"/>
      <c r="I3" s="33"/>
      <c r="J3" s="34"/>
      <c r="K3" s="34"/>
    </row>
    <row r="4" spans="1:11" ht="14" customHeight="1" x14ac:dyDescent="0.2">
      <c r="A4" s="33"/>
      <c r="B4" s="33"/>
      <c r="C4" s="33"/>
      <c r="D4" s="33"/>
      <c r="E4" s="33"/>
      <c r="F4" s="33"/>
      <c r="G4" s="33"/>
      <c r="H4" s="33"/>
      <c r="I4" s="33"/>
      <c r="J4" s="34"/>
      <c r="K4" s="34"/>
    </row>
    <row r="5" spans="1:11" ht="38.25" customHeight="1" x14ac:dyDescent="0.2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</row>
    <row r="6" spans="1:11" ht="68.25" customHeight="1" x14ac:dyDescent="0.2">
      <c r="A6" s="4" t="s">
        <v>39</v>
      </c>
      <c r="B6" s="4" t="s">
        <v>48</v>
      </c>
      <c r="C6" s="4" t="s">
        <v>43</v>
      </c>
      <c r="D6" s="4" t="s">
        <v>10</v>
      </c>
      <c r="E6" s="4" t="s">
        <v>2</v>
      </c>
      <c r="F6" s="4" t="s">
        <v>3</v>
      </c>
      <c r="G6" s="4" t="s">
        <v>5</v>
      </c>
      <c r="H6" s="4" t="s">
        <v>6</v>
      </c>
      <c r="I6" s="4" t="s">
        <v>7</v>
      </c>
      <c r="J6" s="4" t="s">
        <v>44</v>
      </c>
      <c r="K6" s="4" t="s">
        <v>45</v>
      </c>
    </row>
    <row r="7" spans="1:11" ht="82.5" customHeight="1" x14ac:dyDescent="0.2">
      <c r="A7" s="6">
        <f>SUM(Data[Result])</f>
        <v>0.96999999999999442</v>
      </c>
      <c r="B7" s="29" cm="1">
        <f t="array" ref="B7">INDEX(Data[Equity],COUNTA(Data[Equity]))</f>
        <v>1.2124999999999931E-2</v>
      </c>
      <c r="C7" s="5">
        <f>MIN(Data[Result])</f>
        <v>-7.81</v>
      </c>
      <c r="D7" s="10" cm="1">
        <f t="array" ref="D7">SUMPRODUCT((Data[Result]&gt;0)*Data[Result])/ABS(SUMPRODUCT((Data[Result]&lt;0)*Data[Result]))</f>
        <v>1.0139088041296243</v>
      </c>
      <c r="E7" s="2">
        <f>COUNTA(Data[Result])</f>
        <v>54</v>
      </c>
      <c r="F7" s="2" cm="1">
        <f t="array" ref="F7">SUMPRODUCT((Data[Result]&gt;0)*1)</f>
        <v>21</v>
      </c>
      <c r="G7" s="8" cm="1">
        <f t="array" ref="G7">SUMPRODUCT((Data[Result]&lt;0)*1)</f>
        <v>33</v>
      </c>
      <c r="H7" s="9" cm="1">
        <f t="array" ref="H7">SUMPRODUCT((Data[Result]&gt;0)*1)/COUNTA(Data[Result])</f>
        <v>0.3888888888888889</v>
      </c>
      <c r="I7" s="7" cm="1">
        <f t="array" ref="I7">SUMPRODUCT((Data[Result]&lt;0)*1)/COUNTA(Data[Result])</f>
        <v>0.61111111111111116</v>
      </c>
      <c r="J7" s="27">
        <f>AVERAGEIF(Data[Result],"&gt;0")/ABS(AVERAGEIF(Data[Result],"&lt;0"))</f>
        <v>1.5932852636322667</v>
      </c>
      <c r="K7" s="28" cm="1">
        <f t="array" ref="K7">(SUMPRODUCT((Data[Result]&gt;0)*1)/COUNTA(Data[Result]))*AVERAGEIF(Data[Result],"&gt;0")+(SUMPRODUCT((Data[Result]&lt;0)*1)/COUNTA(Data[Result]))*AVERAGEIF(Data[Result],"&lt;0")</f>
        <v>1.7962962962962958E-2</v>
      </c>
    </row>
    <row r="8" spans="1:1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ht="70" customHeight="1" x14ac:dyDescent="0.2">
      <c r="A11" s="4" t="s">
        <v>40</v>
      </c>
      <c r="B11" s="4" t="s">
        <v>4</v>
      </c>
      <c r="C11" s="4" t="s">
        <v>43</v>
      </c>
      <c r="D11" s="4" t="s">
        <v>9</v>
      </c>
      <c r="E11" s="4" t="s">
        <v>2</v>
      </c>
      <c r="F11" s="4" t="s">
        <v>3</v>
      </c>
      <c r="G11" s="4" t="s">
        <v>5</v>
      </c>
      <c r="H11" s="4"/>
      <c r="I11" s="4"/>
      <c r="J11" s="4"/>
      <c r="K11" s="4"/>
    </row>
    <row r="12" spans="1:11" ht="66" customHeight="1" x14ac:dyDescent="0.2">
      <c r="A12" s="6">
        <f ca="1">SUMIF(Data[Date],TODAY(),Data[Result])</f>
        <v>-8.36</v>
      </c>
      <c r="B12" s="5">
        <f ca="1">_xlfn.MAXIFS(Data[Equity],Data[Date],TEXT(TODAY(),"DD.MM.YY"))</f>
        <v>0</v>
      </c>
      <c r="C12" s="5">
        <f ca="1">_xlfn.MINIFS(Data[Result],Data[Date],TODAY())</f>
        <v>-7.81</v>
      </c>
      <c r="D12" s="10">
        <f ca="1">AVERAGEIFS(Data[Result],Data[Date],TODAY())</f>
        <v>-2.7866666666666666</v>
      </c>
      <c r="E12" s="2">
        <f ca="1">COUNTIF(Data[Date],TODAY())</f>
        <v>3</v>
      </c>
      <c r="F12" s="2" cm="1">
        <f t="array" aca="1" ref="F12" ca="1">SUMPRODUCT((Data[Date]=TODAY())*(Data[Result]&gt;0)*1)</f>
        <v>1</v>
      </c>
      <c r="G12" s="8" cm="1">
        <f t="array" aca="1" ref="G12" ca="1">SUMPRODUCT((Data[Date]=TODAY())*(Data[Result]&lt;0)*1)</f>
        <v>2</v>
      </c>
      <c r="H12" s="25"/>
      <c r="I12" s="26"/>
    </row>
    <row r="13" spans="1:1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9" ht="50.25" customHeight="1" x14ac:dyDescent="0.2">
      <c r="A17" s="11"/>
      <c r="B17" s="11"/>
      <c r="C17" s="11"/>
      <c r="D17" s="11"/>
      <c r="E17" s="11"/>
      <c r="F17" s="11"/>
      <c r="G17" s="11"/>
      <c r="H17" s="11"/>
      <c r="I17" s="11"/>
    </row>
    <row r="35" spans="1:9" ht="67.5" customHeight="1" x14ac:dyDescent="0.2">
      <c r="A35" s="11"/>
      <c r="B35" s="11"/>
      <c r="C35" s="11"/>
      <c r="D35" s="11"/>
      <c r="E35" s="11"/>
      <c r="F35" s="11"/>
      <c r="G35" s="11"/>
      <c r="H35" s="11"/>
      <c r="I35" s="11"/>
    </row>
  </sheetData>
  <mergeCells count="2">
    <mergeCell ref="A1:I4"/>
    <mergeCell ref="J1:K4"/>
  </mergeCells>
  <conditionalFormatting sqref="A7">
    <cfRule type="cellIs" dxfId="2" priority="2" operator="greaterThan">
      <formula>1</formula>
    </cfRule>
  </conditionalFormatting>
  <conditionalFormatting sqref="A12">
    <cfRule type="cellIs" dxfId="1" priority="1" operator="greaterThan">
      <formula>1</formula>
    </cfRule>
  </conditionalFormatting>
  <pageMargins left="0.7" right="0.7" top="0.75" bottom="0.75" header="0.3" footer="0.3"/>
  <headerFooter>
    <oddFooter>&amp;C_x000D_&amp;1#&amp;"Aptos"&amp;10&amp;K000000 Internal use only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670CB-1DF7-4C52-98DD-430D375DEAC0}">
  <dimension ref="A1:P59"/>
  <sheetViews>
    <sheetView topLeftCell="A13" zoomScale="80" zoomScaleNormal="80" workbookViewId="0">
      <selection activeCell="A28" sqref="A23:A28"/>
    </sheetView>
  </sheetViews>
  <sheetFormatPr baseColWidth="10" defaultRowHeight="16" x14ac:dyDescent="0.2"/>
  <cols>
    <col min="1" max="1" width="19.5" style="14" customWidth="1"/>
    <col min="2" max="2" width="18" style="14" customWidth="1"/>
    <col min="3" max="3" width="18.33203125" style="14" customWidth="1"/>
    <col min="4" max="4" width="21" style="14" customWidth="1"/>
    <col min="5" max="5" width="22.5" style="14" customWidth="1"/>
    <col min="6" max="6" width="18" style="14" customWidth="1"/>
    <col min="7" max="7" width="8.6640625" style="14" customWidth="1"/>
    <col min="8" max="8" width="19.5" style="14" bestFit="1" customWidth="1"/>
    <col min="9" max="9" width="18.1640625" style="14" bestFit="1" customWidth="1"/>
    <col min="10" max="10" width="19.5" style="14" customWidth="1"/>
    <col min="11" max="11" width="15.1640625" style="14" bestFit="1" customWidth="1"/>
    <col min="12" max="12" width="15.1640625" style="14" customWidth="1"/>
    <col min="13" max="15" width="10.83203125" style="14"/>
    <col min="16" max="16" width="10.83203125" style="30"/>
    <col min="17" max="16384" width="10.83203125" style="14"/>
  </cols>
  <sheetData>
    <row r="1" spans="1:16" x14ac:dyDescent="0.2">
      <c r="A1" s="31" t="s">
        <v>46</v>
      </c>
      <c r="B1" s="14">
        <v>80</v>
      </c>
    </row>
    <row r="5" spans="1:16" x14ac:dyDescent="0.2">
      <c r="A5" s="16" t="s">
        <v>0</v>
      </c>
      <c r="B5" s="16" t="s">
        <v>1</v>
      </c>
      <c r="C5" s="16" t="s">
        <v>30</v>
      </c>
      <c r="D5" s="16" t="s">
        <v>17</v>
      </c>
      <c r="E5" s="16" t="s">
        <v>16</v>
      </c>
      <c r="F5" s="16" t="s">
        <v>15</v>
      </c>
      <c r="G5" s="16" t="s">
        <v>19</v>
      </c>
      <c r="H5" s="16" t="s">
        <v>11</v>
      </c>
      <c r="I5" s="16" t="s">
        <v>12</v>
      </c>
      <c r="J5" s="16" t="s">
        <v>18</v>
      </c>
      <c r="K5" s="16" t="s">
        <v>13</v>
      </c>
      <c r="L5" s="16" t="s">
        <v>29</v>
      </c>
      <c r="M5" s="16" t="s">
        <v>14</v>
      </c>
      <c r="N5" s="16" t="s">
        <v>20</v>
      </c>
      <c r="O5" s="16" t="s">
        <v>21</v>
      </c>
      <c r="P5" s="16" t="s">
        <v>47</v>
      </c>
    </row>
    <row r="6" spans="1:16" x14ac:dyDescent="0.2">
      <c r="A6" s="13">
        <v>46142</v>
      </c>
      <c r="B6" s="14">
        <v>1.69</v>
      </c>
      <c r="C6" s="14">
        <v>1.69</v>
      </c>
      <c r="D6" s="12">
        <f>IF(Data[[#This Row],[Result]]&gt;1,1,0)</f>
        <v>1</v>
      </c>
      <c r="E6" s="12" t="s">
        <v>31</v>
      </c>
      <c r="F6" s="12" t="s">
        <v>32</v>
      </c>
      <c r="G6" s="14" t="s">
        <v>22</v>
      </c>
      <c r="H6" s="13">
        <v>46142.566388888888</v>
      </c>
      <c r="I6" s="13">
        <v>46147.152291666665</v>
      </c>
      <c r="J6" s="14" t="s">
        <v>23</v>
      </c>
      <c r="K6" s="15">
        <f>Data[[#This Row],[Closing time]]-Data[[#This Row],[Opening time]]</f>
        <v>4.585902777776937</v>
      </c>
      <c r="L6" s="18">
        <f>Data[[#This Row],[Duration]]*24</f>
        <v>110.06166666664649</v>
      </c>
      <c r="M6" s="17">
        <v>29.83</v>
      </c>
      <c r="N6" s="14">
        <v>0.17</v>
      </c>
      <c r="O6" s="14" t="s">
        <v>24</v>
      </c>
      <c r="P6" s="30">
        <f>Data[[#This Row],[Cumulative result]]/$B1</f>
        <v>2.1124999999999998E-2</v>
      </c>
    </row>
    <row r="7" spans="1:16" x14ac:dyDescent="0.2">
      <c r="A7" s="13">
        <v>46142</v>
      </c>
      <c r="B7" s="14">
        <v>2.52</v>
      </c>
      <c r="C7" s="14">
        <f>C6+Data[[#This Row],[Result]]</f>
        <v>4.21</v>
      </c>
      <c r="D7" s="12">
        <f>IF(Data[[#This Row],[Result]]&gt;1,1,0)</f>
        <v>1</v>
      </c>
      <c r="E7" s="12" t="s">
        <v>31</v>
      </c>
      <c r="F7" s="12" t="s">
        <v>32</v>
      </c>
      <c r="G7" s="14" t="s">
        <v>22</v>
      </c>
      <c r="H7" s="13">
        <v>46142.566388888888</v>
      </c>
      <c r="I7" s="13">
        <v>46143.523680555554</v>
      </c>
      <c r="J7" s="14" t="s">
        <v>23</v>
      </c>
      <c r="K7" s="15">
        <f>Data[[#This Row],[Closing time]]-Data[[#This Row],[Opening time]]</f>
        <v>0.95729166666569654</v>
      </c>
      <c r="L7" s="19">
        <f>Data[[#This Row],[Duration]]*24</f>
        <v>22.974999999976717</v>
      </c>
      <c r="M7" s="17">
        <v>119.3</v>
      </c>
      <c r="N7" s="14">
        <v>0.23</v>
      </c>
      <c r="O7" s="14" t="s">
        <v>24</v>
      </c>
      <c r="P7" s="30">
        <f>Data[[#This Row],[Cumulative result]]/$B1</f>
        <v>5.2624999999999998E-2</v>
      </c>
    </row>
    <row r="8" spans="1:16" x14ac:dyDescent="0.2">
      <c r="A8" s="13">
        <v>46142</v>
      </c>
      <c r="B8" s="14">
        <v>4.88</v>
      </c>
      <c r="C8" s="14">
        <f>C7+Data[[#This Row],[Result]]</f>
        <v>9.09</v>
      </c>
      <c r="D8" s="12">
        <f>IF(Data[[#This Row],[Result]]&gt;1,1,0)</f>
        <v>1</v>
      </c>
      <c r="E8" s="12" t="s">
        <v>31</v>
      </c>
      <c r="F8" s="12" t="s">
        <v>32</v>
      </c>
      <c r="G8" s="14" t="s">
        <v>22</v>
      </c>
      <c r="H8" s="13">
        <v>46142.566388888888</v>
      </c>
      <c r="I8" s="13">
        <v>46154.434305555558</v>
      </c>
      <c r="J8" s="14" t="s">
        <v>23</v>
      </c>
      <c r="K8" s="15">
        <f>Data[[#This Row],[Closing time]]-Data[[#This Row],[Opening time]]</f>
        <v>11.867916666669771</v>
      </c>
      <c r="L8" s="18">
        <f>Data[[#This Row],[Duration]]*24</f>
        <v>284.83000000007451</v>
      </c>
      <c r="M8" s="17">
        <v>89.47</v>
      </c>
      <c r="N8" s="14">
        <v>0.32</v>
      </c>
      <c r="O8" s="14" t="s">
        <v>24</v>
      </c>
      <c r="P8" s="30">
        <f>Data[[#This Row],[Cumulative result]]/$B1</f>
        <v>0.113625</v>
      </c>
    </row>
    <row r="9" spans="1:16" x14ac:dyDescent="0.2">
      <c r="A9" s="13">
        <v>46147</v>
      </c>
      <c r="B9" s="14">
        <v>-0.88</v>
      </c>
      <c r="C9" s="14">
        <f>C8+Data[[#This Row],[Result]]</f>
        <v>8.2099999999999991</v>
      </c>
      <c r="D9" s="12">
        <f>IF(Data[[#This Row],[Result]]&gt;1,1,0)</f>
        <v>0</v>
      </c>
      <c r="E9" s="12" t="s">
        <v>33</v>
      </c>
      <c r="F9" s="12" t="s">
        <v>34</v>
      </c>
      <c r="G9" s="14" t="s">
        <v>25</v>
      </c>
      <c r="H9" s="13">
        <v>46147.549722222226</v>
      </c>
      <c r="I9" s="13">
        <v>46148.356990740744</v>
      </c>
      <c r="J9" s="14" t="s">
        <v>26</v>
      </c>
      <c r="K9" s="15">
        <f>Data[[#This Row],[Closing time]]-Data[[#This Row],[Opening time]]</f>
        <v>0.807268518517958</v>
      </c>
      <c r="L9" s="18">
        <f>Data[[#This Row],[Duration]]*24</f>
        <v>19.374444444430992</v>
      </c>
      <c r="M9" s="17">
        <v>297.20999999999998</v>
      </c>
      <c r="N9" s="14">
        <v>0.46</v>
      </c>
      <c r="O9" s="14" t="s">
        <v>24</v>
      </c>
      <c r="P9" s="30">
        <f>Data[[#This Row],[Cumulative result]]/$B1</f>
        <v>0.10262499999999999</v>
      </c>
    </row>
    <row r="10" spans="1:16" x14ac:dyDescent="0.2">
      <c r="A10" s="13">
        <v>46147</v>
      </c>
      <c r="B10" s="14">
        <v>-0.47</v>
      </c>
      <c r="C10" s="14">
        <f>C9+Data[[#This Row],[Result]]</f>
        <v>7.7399999999999993</v>
      </c>
      <c r="D10" s="12">
        <f>IF(Data[[#This Row],[Result]]&gt;1,1,0)</f>
        <v>0</v>
      </c>
      <c r="E10" s="12" t="s">
        <v>33</v>
      </c>
      <c r="F10" s="12" t="s">
        <v>34</v>
      </c>
      <c r="G10" s="14" t="s">
        <v>25</v>
      </c>
      <c r="H10" s="13">
        <v>46147.350717592592</v>
      </c>
      <c r="I10" s="13">
        <v>46147.511134259257</v>
      </c>
      <c r="J10" s="14" t="s">
        <v>26</v>
      </c>
      <c r="K10" s="15">
        <f>Data[[#This Row],[Closing time]]-Data[[#This Row],[Opening time]]</f>
        <v>0.16041666666569654</v>
      </c>
      <c r="L10" s="18">
        <f>Data[[#This Row],[Duration]]*24</f>
        <v>3.8499999999767169</v>
      </c>
      <c r="M10" s="17">
        <v>113.92</v>
      </c>
      <c r="N10" s="14">
        <v>0.16</v>
      </c>
      <c r="O10" s="14" t="s">
        <v>24</v>
      </c>
      <c r="P10" s="30">
        <f>Data[[#This Row],[Cumulative result]]/$B1</f>
        <v>9.6749999999999989E-2</v>
      </c>
    </row>
    <row r="11" spans="1:16" x14ac:dyDescent="0.2">
      <c r="A11" s="13">
        <v>46148</v>
      </c>
      <c r="B11" s="14">
        <v>-1.95</v>
      </c>
      <c r="C11" s="14">
        <f>C10+Data[[#This Row],[Result]]</f>
        <v>5.7899999999999991</v>
      </c>
      <c r="D11" s="12">
        <f>IF(Data[[#This Row],[Result]]&gt;1,1,0)</f>
        <v>0</v>
      </c>
      <c r="E11" s="12" t="s">
        <v>35</v>
      </c>
      <c r="F11" s="12" t="s">
        <v>34</v>
      </c>
      <c r="G11" s="14" t="s">
        <v>25</v>
      </c>
      <c r="H11" s="13">
        <v>46148.376736111109</v>
      </c>
      <c r="I11" s="13">
        <v>46148.41846064815</v>
      </c>
      <c r="J11" s="14" t="s">
        <v>26</v>
      </c>
      <c r="K11" s="15">
        <f>Data[[#This Row],[Closing time]]-Data[[#This Row],[Opening time]]</f>
        <v>4.1724537040863652E-2</v>
      </c>
      <c r="L11" s="18">
        <f>Data[[#This Row],[Duration]]*24</f>
        <v>1.0013888889807276</v>
      </c>
      <c r="M11" s="17">
        <v>519.33000000000004</v>
      </c>
      <c r="N11" s="14">
        <v>0.73</v>
      </c>
      <c r="O11" s="14" t="s">
        <v>24</v>
      </c>
      <c r="P11" s="30">
        <f>Data[[#This Row],[Cumulative result]]/$B1</f>
        <v>7.2374999999999995E-2</v>
      </c>
    </row>
    <row r="12" spans="1:16" x14ac:dyDescent="0.2">
      <c r="A12" s="13">
        <v>46148</v>
      </c>
      <c r="B12" s="14">
        <v>-0.75</v>
      </c>
      <c r="C12" s="14">
        <f>C11+Data[[#This Row],[Result]]</f>
        <v>5.0399999999999991</v>
      </c>
      <c r="D12" s="12">
        <f>IF(Data[[#This Row],[Result]]&gt;1,1,0)</f>
        <v>0</v>
      </c>
      <c r="E12" s="12" t="s">
        <v>35</v>
      </c>
      <c r="F12" s="12" t="s">
        <v>34</v>
      </c>
      <c r="G12" s="14" t="s">
        <v>25</v>
      </c>
      <c r="H12" s="13">
        <v>46148.463796296295</v>
      </c>
      <c r="I12" s="13">
        <v>46148.472685185188</v>
      </c>
      <c r="J12" s="14" t="s">
        <v>26</v>
      </c>
      <c r="K12" s="15">
        <f>Data[[#This Row],[Closing time]]-Data[[#This Row],[Opening time]]</f>
        <v>8.8888888931251131E-3</v>
      </c>
      <c r="L12" s="18">
        <f>Data[[#This Row],[Duration]]*24</f>
        <v>0.21333333343500271</v>
      </c>
      <c r="M12" s="17">
        <v>251.42</v>
      </c>
      <c r="N12" s="14">
        <v>0.36</v>
      </c>
      <c r="O12" s="14" t="s">
        <v>24</v>
      </c>
      <c r="P12" s="30">
        <f>Data[[#This Row],[Cumulative result]]/$B1</f>
        <v>6.2999999999999987E-2</v>
      </c>
    </row>
    <row r="13" spans="1:16" x14ac:dyDescent="0.2">
      <c r="A13" s="13">
        <v>46148</v>
      </c>
      <c r="B13" s="14">
        <v>1.59</v>
      </c>
      <c r="C13" s="14">
        <f>C12+Data[[#This Row],[Result]]</f>
        <v>6.629999999999999</v>
      </c>
      <c r="D13" s="12">
        <f>IF(Data[[#This Row],[Result]]&gt;1,1,0)</f>
        <v>1</v>
      </c>
      <c r="E13" s="12" t="s">
        <v>35</v>
      </c>
      <c r="F13" s="12" t="s">
        <v>34</v>
      </c>
      <c r="G13" s="14" t="s">
        <v>25</v>
      </c>
      <c r="H13" s="13">
        <v>46148.481099537035</v>
      </c>
      <c r="I13" s="13">
        <v>46148.586469907408</v>
      </c>
      <c r="J13" s="14" t="s">
        <v>23</v>
      </c>
      <c r="K13" s="15">
        <f>Data[[#This Row],[Closing time]]-Data[[#This Row],[Opening time]]</f>
        <v>0.10537037037283881</v>
      </c>
      <c r="L13" s="18">
        <f>Data[[#This Row],[Duration]]*24</f>
        <v>2.5288888889481314</v>
      </c>
      <c r="M13" s="17">
        <v>120.82</v>
      </c>
      <c r="N13" s="14">
        <v>0.17</v>
      </c>
      <c r="O13" s="14" t="s">
        <v>24</v>
      </c>
      <c r="P13" s="30">
        <f>Data[[#This Row],[Cumulative result]]/$B1</f>
        <v>8.287499999999999E-2</v>
      </c>
    </row>
    <row r="14" spans="1:16" x14ac:dyDescent="0.2">
      <c r="A14" s="13">
        <v>46148</v>
      </c>
      <c r="B14" s="14">
        <v>3.63</v>
      </c>
      <c r="C14" s="14">
        <f>C13+Data[[#This Row],[Result]]</f>
        <v>10.259999999999998</v>
      </c>
      <c r="D14" s="12">
        <f>IF(Data[[#This Row],[Result]]&gt;1,1,0)</f>
        <v>1</v>
      </c>
      <c r="E14" s="12" t="s">
        <v>35</v>
      </c>
      <c r="F14" s="12" t="s">
        <v>34</v>
      </c>
      <c r="G14" s="14" t="s">
        <v>25</v>
      </c>
      <c r="H14" s="13">
        <v>46148.481099537035</v>
      </c>
      <c r="I14" s="13">
        <v>46149.609861111108</v>
      </c>
      <c r="J14" s="14" t="s">
        <v>23</v>
      </c>
      <c r="K14" s="15">
        <f>Data[[#This Row],[Closing time]]-Data[[#This Row],[Opening time]]</f>
        <v>1.1287615740729962</v>
      </c>
      <c r="L14" s="18">
        <f>Data[[#This Row],[Duration]]*24</f>
        <v>27.090277777751908</v>
      </c>
      <c r="M14" s="17">
        <v>120.82</v>
      </c>
      <c r="N14" s="14">
        <v>0.2</v>
      </c>
      <c r="O14" s="14" t="s">
        <v>24</v>
      </c>
      <c r="P14" s="30">
        <f>Data[[#This Row],[Cumulative result]]/$B1</f>
        <v>0.12824999999999998</v>
      </c>
    </row>
    <row r="15" spans="1:16" x14ac:dyDescent="0.2">
      <c r="A15" s="13">
        <v>46149</v>
      </c>
      <c r="B15" s="14">
        <v>-0.99</v>
      </c>
      <c r="C15" s="14">
        <f>C14+Data[[#This Row],[Result]]</f>
        <v>9.2699999999999978</v>
      </c>
      <c r="D15" s="12">
        <f>IF(Data[[#This Row],[Result]]&gt;1,1,0)</f>
        <v>0</v>
      </c>
      <c r="E15" s="12" t="s">
        <v>31</v>
      </c>
      <c r="F15" s="12" t="s">
        <v>34</v>
      </c>
      <c r="G15" s="14" t="s">
        <v>22</v>
      </c>
      <c r="H15" s="13">
        <v>46149.776250000003</v>
      </c>
      <c r="I15" s="13">
        <v>46150.084687499999</v>
      </c>
      <c r="J15" s="14" t="s">
        <v>26</v>
      </c>
      <c r="K15" s="15">
        <f>Data[[#This Row],[Closing time]]-Data[[#This Row],[Opening time]]</f>
        <v>0.3084374999962165</v>
      </c>
      <c r="L15" s="18">
        <f>Data[[#This Row],[Duration]]*24</f>
        <v>7.402499999909196</v>
      </c>
      <c r="M15" s="17">
        <v>99.12</v>
      </c>
      <c r="N15" s="14">
        <v>0.15</v>
      </c>
      <c r="O15" s="14" t="s">
        <v>27</v>
      </c>
      <c r="P15" s="30">
        <f>Data[[#This Row],[Cumulative result]]/$B1</f>
        <v>0.11587499999999998</v>
      </c>
    </row>
    <row r="16" spans="1:16" x14ac:dyDescent="0.2">
      <c r="A16" s="13">
        <v>46149</v>
      </c>
      <c r="B16" s="14">
        <v>-0.47</v>
      </c>
      <c r="C16" s="14">
        <f>C15+Data[[#This Row],[Result]]</f>
        <v>8.7999999999999972</v>
      </c>
      <c r="D16" s="12">
        <f>IF(Data[[#This Row],[Result]]&gt;1,1,0)</f>
        <v>0</v>
      </c>
      <c r="E16" s="12" t="s">
        <v>31</v>
      </c>
      <c r="F16" s="12" t="s">
        <v>34</v>
      </c>
      <c r="G16" s="14" t="s">
        <v>25</v>
      </c>
      <c r="H16" s="13">
        <v>46149.681076388886</v>
      </c>
      <c r="I16" s="13">
        <v>46149.747997685183</v>
      </c>
      <c r="J16" s="14" t="s">
        <v>26</v>
      </c>
      <c r="K16" s="15">
        <f>Data[[#This Row],[Closing time]]-Data[[#This Row],[Opening time]]</f>
        <v>6.6921296296641231E-2</v>
      </c>
      <c r="L16" s="18">
        <f>Data[[#This Row],[Duration]]*24</f>
        <v>1.6061111111193895</v>
      </c>
      <c r="M16" s="17">
        <v>100.26</v>
      </c>
      <c r="N16" s="14">
        <v>0.14000000000000001</v>
      </c>
      <c r="O16" s="14" t="s">
        <v>27</v>
      </c>
      <c r="P16" s="30">
        <f>Data[[#This Row],[Cumulative result]]/$B1</f>
        <v>0.10999999999999996</v>
      </c>
    </row>
    <row r="17" spans="1:16" x14ac:dyDescent="0.2">
      <c r="A17" s="13">
        <v>46149</v>
      </c>
      <c r="B17" s="14">
        <v>0.12</v>
      </c>
      <c r="C17" s="14">
        <f>C16+Data[[#This Row],[Result]]</f>
        <v>8.9199999999999964</v>
      </c>
      <c r="D17" s="12">
        <f>IF(Data[[#This Row],[Result]]&gt;1,1,0)</f>
        <v>0</v>
      </c>
      <c r="E17" s="12" t="s">
        <v>31</v>
      </c>
      <c r="F17" s="12" t="s">
        <v>34</v>
      </c>
      <c r="G17" s="14" t="s">
        <v>25</v>
      </c>
      <c r="H17" s="13">
        <v>46149.815312500003</v>
      </c>
      <c r="I17" s="13">
        <v>46150.366354166668</v>
      </c>
      <c r="J17" s="14" t="s">
        <v>23</v>
      </c>
      <c r="K17" s="15">
        <f>Data[[#This Row],[Closing time]]-Data[[#This Row],[Opening time]]</f>
        <v>0.55104166666569654</v>
      </c>
      <c r="L17" s="18">
        <f>Data[[#This Row],[Duration]]*24</f>
        <v>13.224999999976717</v>
      </c>
      <c r="M17" s="17">
        <v>175.22</v>
      </c>
      <c r="N17" s="14">
        <v>0.26</v>
      </c>
      <c r="O17" s="14" t="s">
        <v>24</v>
      </c>
      <c r="P17" s="30">
        <f>Data[[#This Row],[Cumulative result]]/$B1</f>
        <v>0.11149999999999996</v>
      </c>
    </row>
    <row r="18" spans="1:16" x14ac:dyDescent="0.2">
      <c r="A18" s="13">
        <v>46149</v>
      </c>
      <c r="B18" s="14">
        <v>1.26</v>
      </c>
      <c r="C18" s="14">
        <f>C17+Data[[#This Row],[Result]]</f>
        <v>10.179999999999996</v>
      </c>
      <c r="D18" s="12">
        <f>IF(Data[[#This Row],[Result]]&gt;1,1,0)</f>
        <v>1</v>
      </c>
      <c r="E18" s="12" t="s">
        <v>31</v>
      </c>
      <c r="F18" s="12" t="s">
        <v>34</v>
      </c>
      <c r="G18" s="14" t="s">
        <v>22</v>
      </c>
      <c r="H18" s="13">
        <v>46149.852523148147</v>
      </c>
      <c r="I18" s="13">
        <v>46151.876018518517</v>
      </c>
      <c r="J18" s="14" t="s">
        <v>23</v>
      </c>
      <c r="K18" s="15">
        <f>Data[[#This Row],[Closing time]]-Data[[#This Row],[Opening time]]</f>
        <v>2.0234953703693463</v>
      </c>
      <c r="L18" s="18">
        <f>Data[[#This Row],[Duration]]*24</f>
        <v>48.563888888864312</v>
      </c>
      <c r="M18" s="17">
        <v>148.06</v>
      </c>
      <c r="N18" s="14">
        <v>0.06</v>
      </c>
      <c r="O18" s="14" t="s">
        <v>28</v>
      </c>
      <c r="P18" s="30">
        <f>Data[[#This Row],[Cumulative result]]/$B1</f>
        <v>0.12724999999999995</v>
      </c>
    </row>
    <row r="19" spans="1:16" x14ac:dyDescent="0.2">
      <c r="A19" s="13">
        <v>46150</v>
      </c>
      <c r="B19" s="14">
        <v>-1.1200000000000001</v>
      </c>
      <c r="C19" s="14">
        <f>C18+Data[[#This Row],[Result]]</f>
        <v>9.0599999999999952</v>
      </c>
      <c r="D19" s="12">
        <f>IF(Data[[#This Row],[Result]]&gt;1,1,0)</f>
        <v>0</v>
      </c>
      <c r="E19" s="12" t="s">
        <v>36</v>
      </c>
      <c r="F19" s="12" t="s">
        <v>34</v>
      </c>
      <c r="G19" s="14" t="s">
        <v>25</v>
      </c>
      <c r="H19" s="13">
        <v>46150.450868055559</v>
      </c>
      <c r="I19" s="13">
        <v>46150.458391203705</v>
      </c>
      <c r="J19" s="14" t="s">
        <v>26</v>
      </c>
      <c r="K19" s="15">
        <f>Data[[#This Row],[Closing time]]-Data[[#This Row],[Opening time]]</f>
        <v>7.5231481459923089E-3</v>
      </c>
      <c r="L19" s="18">
        <f>Data[[#This Row],[Duration]]*24</f>
        <v>0.18055555550381541</v>
      </c>
      <c r="M19" s="17">
        <v>503.21</v>
      </c>
      <c r="N19" s="14">
        <v>0.7</v>
      </c>
      <c r="O19" s="14" t="s">
        <v>24</v>
      </c>
      <c r="P19" s="30">
        <f>Data[[#This Row],[Cumulative result]]/$B1</f>
        <v>0.11324999999999993</v>
      </c>
    </row>
    <row r="20" spans="1:16" x14ac:dyDescent="0.2">
      <c r="A20" s="13">
        <v>46150</v>
      </c>
      <c r="B20" s="14">
        <v>-0.56999999999999995</v>
      </c>
      <c r="C20" s="14">
        <f>C19+Data[[#This Row],[Result]]</f>
        <v>8.4899999999999949</v>
      </c>
      <c r="D20" s="12">
        <f>IF(Data[[#This Row],[Result]]&gt;1,1,0)</f>
        <v>0</v>
      </c>
      <c r="E20" s="12" t="s">
        <v>36</v>
      </c>
      <c r="F20" s="12" t="s">
        <v>34</v>
      </c>
      <c r="G20" s="14" t="s">
        <v>25</v>
      </c>
      <c r="H20" s="13">
        <v>46150.374768518515</v>
      </c>
      <c r="I20" s="13">
        <v>46150.389803240738</v>
      </c>
      <c r="J20" s="14" t="s">
        <v>26</v>
      </c>
      <c r="K20" s="15">
        <f>Data[[#This Row],[Closing time]]-Data[[#This Row],[Opening time]]</f>
        <v>1.5034722222480923E-2</v>
      </c>
      <c r="L20" s="18">
        <f>Data[[#This Row],[Duration]]*24</f>
        <v>0.36083333333954215</v>
      </c>
      <c r="M20" s="17">
        <v>261.39</v>
      </c>
      <c r="N20" s="14">
        <v>0.36</v>
      </c>
      <c r="O20" s="14" t="s">
        <v>24</v>
      </c>
      <c r="P20" s="30">
        <f>Data[[#This Row],[Cumulative result]]/$B1</f>
        <v>0.10612499999999994</v>
      </c>
    </row>
    <row r="21" spans="1:16" x14ac:dyDescent="0.2">
      <c r="A21" s="13">
        <v>46150</v>
      </c>
      <c r="B21" s="14">
        <v>-0.06</v>
      </c>
      <c r="C21" s="14">
        <f>C20+Data[[#This Row],[Result]]</f>
        <v>8.4299999999999944</v>
      </c>
      <c r="D21" s="12">
        <f>IF(Data[[#This Row],[Result]]&gt;1,1,0)</f>
        <v>0</v>
      </c>
      <c r="E21" s="12" t="s">
        <v>36</v>
      </c>
      <c r="F21" s="12" t="s">
        <v>34</v>
      </c>
      <c r="G21" s="14" t="s">
        <v>25</v>
      </c>
      <c r="H21" s="13">
        <v>46150.39565972222</v>
      </c>
      <c r="I21" s="13">
        <v>46150.417013888888</v>
      </c>
      <c r="J21" s="14" t="s">
        <v>23</v>
      </c>
      <c r="K21" s="15">
        <f>Data[[#This Row],[Closing time]]-Data[[#This Row],[Opening time]]</f>
        <v>2.1354166667151731E-2</v>
      </c>
      <c r="L21" s="18">
        <f>Data[[#This Row],[Duration]]*24</f>
        <v>0.51250000001164153</v>
      </c>
      <c r="M21" s="17">
        <v>507.76</v>
      </c>
      <c r="N21" s="14">
        <v>0.72</v>
      </c>
      <c r="O21" s="14" t="s">
        <v>24</v>
      </c>
      <c r="P21" s="30">
        <f>Data[[#This Row],[Cumulative result]]/$B1</f>
        <v>0.10537499999999993</v>
      </c>
    </row>
    <row r="22" spans="1:16" x14ac:dyDescent="0.2">
      <c r="A22" s="13">
        <v>46150</v>
      </c>
      <c r="B22" s="14">
        <v>2.23</v>
      </c>
      <c r="C22" s="14">
        <f>C21+Data[[#This Row],[Result]]</f>
        <v>10.659999999999995</v>
      </c>
      <c r="D22" s="12">
        <f>IF(Data[[#This Row],[Result]]&gt;1,1,0)</f>
        <v>1</v>
      </c>
      <c r="E22" s="12" t="s">
        <v>36</v>
      </c>
      <c r="F22" s="12" t="s">
        <v>34</v>
      </c>
      <c r="G22" s="14" t="s">
        <v>22</v>
      </c>
      <c r="H22" s="13">
        <v>46150.447951388887</v>
      </c>
      <c r="I22" s="13">
        <v>46151.973576388889</v>
      </c>
      <c r="J22" s="14" t="s">
        <v>23</v>
      </c>
      <c r="K22" s="15">
        <f>Data[[#This Row],[Closing time]]-Data[[#This Row],[Opening time]]</f>
        <v>1.5256250000020373</v>
      </c>
      <c r="L22" s="18">
        <f>Data[[#This Row],[Duration]]*24</f>
        <v>36.615000000048894</v>
      </c>
      <c r="M22" s="17">
        <v>150.13999999999999</v>
      </c>
      <c r="N22" s="14">
        <v>0.28999999999999998</v>
      </c>
      <c r="O22" s="14" t="s">
        <v>27</v>
      </c>
      <c r="P22" s="30">
        <f>Data[[#This Row],[Cumulative result]]/$B1</f>
        <v>0.13324999999999992</v>
      </c>
    </row>
    <row r="23" spans="1:16" x14ac:dyDescent="0.2">
      <c r="A23" s="13">
        <v>46152</v>
      </c>
      <c r="B23" s="14">
        <v>-4.42</v>
      </c>
      <c r="C23" s="14">
        <f>C22+Data[[#This Row],[Result]]</f>
        <v>6.2399999999999949</v>
      </c>
      <c r="D23" s="12">
        <f>IF(Data[[#This Row],[Result]]&gt;1,1,0)</f>
        <v>0</v>
      </c>
      <c r="E23" s="12" t="s">
        <v>37</v>
      </c>
      <c r="F23" s="12" t="s">
        <v>34</v>
      </c>
      <c r="G23" s="14" t="s">
        <v>22</v>
      </c>
      <c r="H23" s="13">
        <v>46152.864756944444</v>
      </c>
      <c r="I23" s="13">
        <v>46153.605370370373</v>
      </c>
      <c r="J23" s="14" t="s">
        <v>26</v>
      </c>
      <c r="K23" s="15">
        <f>Data[[#This Row],[Closing time]]-Data[[#This Row],[Opening time]]</f>
        <v>0.74061342592904111</v>
      </c>
      <c r="L23" s="18">
        <f>Data[[#This Row],[Duration]]*24</f>
        <v>17.774722222296987</v>
      </c>
      <c r="M23" s="17">
        <v>395.29</v>
      </c>
      <c r="N23" s="14">
        <v>0.65</v>
      </c>
      <c r="O23" s="14" t="s">
        <v>27</v>
      </c>
      <c r="P23" s="30">
        <f>Data[[#This Row],[Cumulative result]]/$B1</f>
        <v>7.7999999999999931E-2</v>
      </c>
    </row>
    <row r="24" spans="1:16" x14ac:dyDescent="0.2">
      <c r="A24" s="13">
        <v>46152</v>
      </c>
      <c r="B24" s="14">
        <v>-1.05</v>
      </c>
      <c r="C24" s="14">
        <f>C23+Data[[#This Row],[Result]]</f>
        <v>5.1899999999999951</v>
      </c>
      <c r="D24" s="12">
        <f>IF(Data[[#This Row],[Result]]&gt;1,1,0)</f>
        <v>0</v>
      </c>
      <c r="E24" s="12" t="s">
        <v>37</v>
      </c>
      <c r="F24" s="12" t="s">
        <v>34</v>
      </c>
      <c r="G24" s="14" t="s">
        <v>22</v>
      </c>
      <c r="H24" s="13">
        <v>46152.851550925923</v>
      </c>
      <c r="I24" s="13">
        <v>46152.856249999997</v>
      </c>
      <c r="J24" s="14" t="s">
        <v>26</v>
      </c>
      <c r="K24" s="15">
        <f>Data[[#This Row],[Closing time]]-Data[[#This Row],[Opening time]]</f>
        <v>4.6990740738692693E-3</v>
      </c>
      <c r="L24" s="18">
        <f>Data[[#This Row],[Duration]]*24</f>
        <v>0.11277777777286246</v>
      </c>
      <c r="M24" s="17">
        <v>537.53</v>
      </c>
      <c r="N24" s="14">
        <v>0.22</v>
      </c>
      <c r="O24" s="14" t="s">
        <v>24</v>
      </c>
      <c r="P24" s="30">
        <f>Data[[#This Row],[Cumulative result]]/$B1</f>
        <v>6.4874999999999933E-2</v>
      </c>
    </row>
    <row r="25" spans="1:16" x14ac:dyDescent="0.2">
      <c r="A25" s="13">
        <v>46152</v>
      </c>
      <c r="B25" s="14">
        <v>-0.66</v>
      </c>
      <c r="C25" s="14">
        <f>C24+Data[[#This Row],[Result]]</f>
        <v>4.5299999999999949</v>
      </c>
      <c r="D25" s="12">
        <f>IF(Data[[#This Row],[Result]]&gt;1,1,0)</f>
        <v>0</v>
      </c>
      <c r="E25" s="12" t="s">
        <v>37</v>
      </c>
      <c r="F25" s="12" t="s">
        <v>34</v>
      </c>
      <c r="G25" s="14" t="s">
        <v>22</v>
      </c>
      <c r="H25" s="13">
        <v>46152.858773148146</v>
      </c>
      <c r="I25" s="13">
        <v>46152.864050925928</v>
      </c>
      <c r="J25" s="14" t="s">
        <v>26</v>
      </c>
      <c r="K25" s="15">
        <f>Data[[#This Row],[Closing time]]-Data[[#This Row],[Opening time]]</f>
        <v>5.2777777818846516E-3</v>
      </c>
      <c r="L25" s="18">
        <f>Data[[#This Row],[Duration]]*24</f>
        <v>0.12666666676523164</v>
      </c>
      <c r="M25" s="17">
        <v>96.64</v>
      </c>
      <c r="N25" s="14">
        <v>0.04</v>
      </c>
      <c r="O25" s="14" t="s">
        <v>28</v>
      </c>
      <c r="P25" s="30">
        <f>Data[[#This Row],[Cumulative result]]/$B1</f>
        <v>5.6624999999999939E-2</v>
      </c>
    </row>
    <row r="26" spans="1:16" x14ac:dyDescent="0.2">
      <c r="A26" s="13">
        <v>46152</v>
      </c>
      <c r="B26" s="14">
        <v>0.8</v>
      </c>
      <c r="C26" s="14">
        <f>C25+Data[[#This Row],[Result]]</f>
        <v>5.3299999999999947</v>
      </c>
      <c r="D26" s="12">
        <f>IF(Data[[#This Row],[Result]]&gt;1,1,0)</f>
        <v>0</v>
      </c>
      <c r="E26" s="12" t="s">
        <v>37</v>
      </c>
      <c r="F26" s="12" t="s">
        <v>34</v>
      </c>
      <c r="G26" s="14" t="s">
        <v>22</v>
      </c>
      <c r="H26" s="13">
        <v>46152.873541666668</v>
      </c>
      <c r="I26" s="13">
        <v>46153.56753472222</v>
      </c>
      <c r="J26" s="14" t="s">
        <v>23</v>
      </c>
      <c r="K26" s="15">
        <f>Data[[#This Row],[Closing time]]-Data[[#This Row],[Opening time]]</f>
        <v>0.69399305555270985</v>
      </c>
      <c r="L26" s="18">
        <f>Data[[#This Row],[Duration]]*24</f>
        <v>16.655833333265036</v>
      </c>
      <c r="M26" s="17">
        <v>983.67</v>
      </c>
      <c r="N26" s="14">
        <v>0.39</v>
      </c>
      <c r="O26" s="14" t="s">
        <v>24</v>
      </c>
      <c r="P26" s="30">
        <f>Data[[#This Row],[Cumulative result]]/$B1</f>
        <v>6.6624999999999934E-2</v>
      </c>
    </row>
    <row r="27" spans="1:16" x14ac:dyDescent="0.2">
      <c r="A27" s="13">
        <v>46152</v>
      </c>
      <c r="B27" s="14">
        <v>1.37</v>
      </c>
      <c r="C27" s="14">
        <f>C26+Data[[#This Row],[Result]]</f>
        <v>6.6999999999999948</v>
      </c>
      <c r="D27" s="12">
        <f>IF(Data[[#This Row],[Result]]&gt;1,1,0)</f>
        <v>1</v>
      </c>
      <c r="E27" s="12" t="s">
        <v>37</v>
      </c>
      <c r="F27" s="12" t="s">
        <v>34</v>
      </c>
      <c r="G27" s="14" t="s">
        <v>22</v>
      </c>
      <c r="H27" s="13">
        <v>46152.435659722221</v>
      </c>
      <c r="I27" s="13">
        <v>46152.844606481478</v>
      </c>
      <c r="J27" s="14" t="s">
        <v>23</v>
      </c>
      <c r="K27" s="15">
        <f>Data[[#This Row],[Closing time]]-Data[[#This Row],[Opening time]]</f>
        <v>0.40894675925665069</v>
      </c>
      <c r="L27" s="18">
        <f>Data[[#This Row],[Duration]]*24</f>
        <v>9.8147222221596166</v>
      </c>
      <c r="M27" s="17">
        <v>524.12</v>
      </c>
      <c r="N27" s="14">
        <v>0.21</v>
      </c>
      <c r="O27" s="14" t="s">
        <v>24</v>
      </c>
      <c r="P27" s="30">
        <f>Data[[#This Row],[Cumulative result]]/$B1</f>
        <v>8.3749999999999936E-2</v>
      </c>
    </row>
    <row r="28" spans="1:16" x14ac:dyDescent="0.2">
      <c r="A28" s="13">
        <v>46152</v>
      </c>
      <c r="B28" s="14">
        <v>2.76</v>
      </c>
      <c r="C28" s="14">
        <f>C27+Data[[#This Row],[Result]]</f>
        <v>9.4599999999999937</v>
      </c>
      <c r="D28" s="12">
        <f>IF(Data[[#This Row],[Result]]&gt;1,1,0)</f>
        <v>1</v>
      </c>
      <c r="E28" s="12" t="s">
        <v>37</v>
      </c>
      <c r="F28" s="12" t="s">
        <v>34</v>
      </c>
      <c r="G28" s="14" t="s">
        <v>22</v>
      </c>
      <c r="H28" s="13">
        <v>46152.420208333337</v>
      </c>
      <c r="I28" s="13">
        <v>46152.856342592589</v>
      </c>
      <c r="J28" s="14" t="s">
        <v>23</v>
      </c>
      <c r="K28" s="15">
        <f>Data[[#This Row],[Closing time]]-Data[[#This Row],[Opening time]]</f>
        <v>0.4361342592528672</v>
      </c>
      <c r="L28" s="18">
        <f>Data[[#This Row],[Duration]]*24</f>
        <v>10.467222222068813</v>
      </c>
      <c r="M28" s="17">
        <v>345.81</v>
      </c>
      <c r="N28" s="14">
        <v>0.53</v>
      </c>
      <c r="O28" s="14" t="s">
        <v>27</v>
      </c>
      <c r="P28" s="30">
        <f>Data[[#This Row],[Cumulative result]]/$B1</f>
        <v>0.11824999999999992</v>
      </c>
    </row>
    <row r="29" spans="1:16" x14ac:dyDescent="0.2">
      <c r="A29" s="13">
        <v>46153</v>
      </c>
      <c r="B29" s="14">
        <v>-3.46</v>
      </c>
      <c r="C29" s="14">
        <f>C28+Data[[#This Row],[Result]]</f>
        <v>5.9999999999999938</v>
      </c>
      <c r="D29" s="12">
        <f>IF(Data[[#This Row],[Result]]&gt;1,1,0)</f>
        <v>0</v>
      </c>
      <c r="E29" s="12" t="s">
        <v>38</v>
      </c>
      <c r="F29" s="12" t="s">
        <v>34</v>
      </c>
      <c r="G29" s="14" t="s">
        <v>22</v>
      </c>
      <c r="H29" s="13">
        <v>46153.898252314815</v>
      </c>
      <c r="I29" s="13">
        <v>46154.065416666665</v>
      </c>
      <c r="J29" s="14" t="s">
        <v>26</v>
      </c>
      <c r="K29" s="15">
        <f>Data[[#This Row],[Closing time]]-Data[[#This Row],[Opening time]]</f>
        <v>0.16716435184935108</v>
      </c>
      <c r="L29" s="18">
        <f>Data[[#This Row],[Duration]]*24</f>
        <v>4.0119444443844259</v>
      </c>
      <c r="M29" s="17">
        <v>598.66999999999996</v>
      </c>
      <c r="N29" s="14">
        <v>0.24</v>
      </c>
      <c r="O29" s="14" t="s">
        <v>24</v>
      </c>
      <c r="P29" s="30">
        <f>Data[[#This Row],[Cumulative result]]/$B1</f>
        <v>7.4999999999999928E-2</v>
      </c>
    </row>
    <row r="30" spans="1:16" x14ac:dyDescent="0.2">
      <c r="A30" s="13">
        <v>46153</v>
      </c>
      <c r="B30" s="14">
        <v>-1.55</v>
      </c>
      <c r="C30" s="14">
        <f>C29+Data[[#This Row],[Result]]</f>
        <v>4.449999999999994</v>
      </c>
      <c r="D30" s="12">
        <f>IF(Data[[#This Row],[Result]]&gt;1,1,0)</f>
        <v>0</v>
      </c>
      <c r="E30" s="12" t="s">
        <v>38</v>
      </c>
      <c r="F30" s="12" t="s">
        <v>34</v>
      </c>
      <c r="G30" s="14" t="s">
        <v>22</v>
      </c>
      <c r="H30" s="13">
        <v>46153.569594907407</v>
      </c>
      <c r="I30" s="13">
        <v>46153.605358796296</v>
      </c>
      <c r="J30" s="14" t="s">
        <v>26</v>
      </c>
      <c r="K30" s="15">
        <f>Data[[#This Row],[Closing time]]-Data[[#This Row],[Opening time]]</f>
        <v>3.5763888889050577E-2</v>
      </c>
      <c r="L30" s="18">
        <f>Data[[#This Row],[Duration]]*24</f>
        <v>0.85833333333721384</v>
      </c>
      <c r="M30" s="17">
        <v>435.98</v>
      </c>
      <c r="N30" s="14">
        <v>0.17</v>
      </c>
      <c r="O30" s="14" t="s">
        <v>24</v>
      </c>
      <c r="P30" s="30">
        <f>Data[[#This Row],[Cumulative result]]/$B1</f>
        <v>5.5624999999999925E-2</v>
      </c>
    </row>
    <row r="31" spans="1:16" x14ac:dyDescent="0.2">
      <c r="A31" s="13">
        <v>46153</v>
      </c>
      <c r="B31" s="14">
        <v>6.25</v>
      </c>
      <c r="C31" s="14">
        <f>C30+Data[[#This Row],[Result]]</f>
        <v>10.699999999999994</v>
      </c>
      <c r="D31" s="12">
        <f>IF(Data[[#This Row],[Result]]&gt;1,1,0)</f>
        <v>1</v>
      </c>
      <c r="E31" s="12" t="s">
        <v>38</v>
      </c>
      <c r="F31" s="12" t="s">
        <v>34</v>
      </c>
      <c r="G31" s="14" t="s">
        <v>22</v>
      </c>
      <c r="H31" s="13">
        <v>46153.630798611113</v>
      </c>
      <c r="I31" s="13">
        <v>46153.75503472222</v>
      </c>
      <c r="J31" s="14" t="s">
        <v>23</v>
      </c>
      <c r="K31" s="15">
        <f>Data[[#This Row],[Closing time]]-Data[[#This Row],[Opening time]]</f>
        <v>0.12423611110716593</v>
      </c>
      <c r="L31" s="18">
        <f>Data[[#This Row],[Duration]]*24</f>
        <v>2.9816666665719822</v>
      </c>
      <c r="M31" s="17">
        <v>461.65</v>
      </c>
      <c r="N31" s="14">
        <v>0.18</v>
      </c>
      <c r="O31" s="14" t="s">
        <v>24</v>
      </c>
      <c r="P31" s="30">
        <f>Data[[#This Row],[Cumulative result]]/$B1</f>
        <v>0.13374999999999992</v>
      </c>
    </row>
    <row r="32" spans="1:16" x14ac:dyDescent="0.2">
      <c r="A32" s="13">
        <v>46154</v>
      </c>
      <c r="B32" s="14">
        <v>13.68</v>
      </c>
      <c r="C32" s="14">
        <f>C31+Data[[#This Row],[Result]]</f>
        <v>24.379999999999995</v>
      </c>
      <c r="D32" s="12">
        <f>IF(Data[[#This Row],[Result]]&gt;1,1,0)</f>
        <v>1</v>
      </c>
      <c r="E32" s="12" t="s">
        <v>33</v>
      </c>
      <c r="F32" s="12" t="s">
        <v>34</v>
      </c>
      <c r="G32" s="14" t="s">
        <v>25</v>
      </c>
      <c r="H32" s="13">
        <v>46154.314143518517</v>
      </c>
      <c r="I32" s="13">
        <v>46155.57508101852</v>
      </c>
      <c r="J32" s="14" t="s">
        <v>23</v>
      </c>
      <c r="K32" s="15">
        <f>Data[[#This Row],[Closing time]]-Data[[#This Row],[Opening time]]</f>
        <v>1.2609375000029104</v>
      </c>
      <c r="L32" s="18">
        <f>Data[[#This Row],[Duration]]*24</f>
        <v>30.262500000069849</v>
      </c>
      <c r="M32" s="17">
        <v>834.61</v>
      </c>
      <c r="N32" s="14">
        <v>0.33</v>
      </c>
      <c r="O32" s="14" t="s">
        <v>24</v>
      </c>
      <c r="P32" s="30">
        <f>Data[[#This Row],[Cumulative result]]/$B1</f>
        <v>0.30474999999999997</v>
      </c>
    </row>
    <row r="33" spans="1:16" x14ac:dyDescent="0.2">
      <c r="A33" s="13">
        <v>46155</v>
      </c>
      <c r="B33" s="14">
        <v>-6.97</v>
      </c>
      <c r="C33" s="14">
        <f>C32+Data[[#This Row],[Result]]</f>
        <v>17.409999999999997</v>
      </c>
      <c r="D33" s="12">
        <f>IF(Data[[#This Row],[Result]]&gt;1,1,0)</f>
        <v>0</v>
      </c>
      <c r="E33" s="12" t="s">
        <v>35</v>
      </c>
      <c r="F33" s="12" t="s">
        <v>34</v>
      </c>
      <c r="G33" s="14" t="s">
        <v>22</v>
      </c>
      <c r="H33" s="13">
        <v>46155.600775462961</v>
      </c>
      <c r="I33" s="13">
        <v>46155.64638888889</v>
      </c>
      <c r="J33" s="14" t="s">
        <v>26</v>
      </c>
      <c r="K33" s="15">
        <f>Data[[#This Row],[Closing time]]-Data[[#This Row],[Opening time]]</f>
        <v>4.5613425929332152E-2</v>
      </c>
      <c r="L33" s="18">
        <f>Data[[#This Row],[Duration]]*24</f>
        <v>1.0947222223039716</v>
      </c>
      <c r="M33" s="17">
        <v>893.34</v>
      </c>
      <c r="N33" s="14">
        <v>1.27</v>
      </c>
      <c r="O33" s="14" t="s">
        <v>24</v>
      </c>
      <c r="P33" s="30">
        <f>Data[[#This Row],[Cumulative result]]/$B1</f>
        <v>0.21762499999999996</v>
      </c>
    </row>
    <row r="34" spans="1:16" x14ac:dyDescent="0.2">
      <c r="A34" s="13">
        <v>46155</v>
      </c>
      <c r="B34" s="14">
        <v>3.15</v>
      </c>
      <c r="C34" s="14">
        <f>C33+Data[[#This Row],[Result]]</f>
        <v>20.559999999999995</v>
      </c>
      <c r="D34" s="12">
        <f>IF(Data[[#This Row],[Result]]&gt;1,1,0)</f>
        <v>1</v>
      </c>
      <c r="E34" s="12" t="s">
        <v>35</v>
      </c>
      <c r="F34" s="12" t="s">
        <v>34</v>
      </c>
      <c r="G34" s="14" t="s">
        <v>22</v>
      </c>
      <c r="H34" s="13">
        <v>46155.683611111112</v>
      </c>
      <c r="I34" s="13">
        <v>46155.763831018521</v>
      </c>
      <c r="J34" s="14" t="s">
        <v>23</v>
      </c>
      <c r="K34" s="15">
        <f>Data[[#This Row],[Closing time]]-Data[[#This Row],[Opening time]]</f>
        <v>8.0219907409627922E-2</v>
      </c>
      <c r="L34" s="18">
        <f>Data[[#This Row],[Duration]]*24</f>
        <v>1.9252777778310701</v>
      </c>
      <c r="M34" s="17">
        <v>421.21</v>
      </c>
      <c r="N34" s="14">
        <v>0.17</v>
      </c>
      <c r="O34" s="14" t="s">
        <v>24</v>
      </c>
      <c r="P34" s="30">
        <f>Data[[#This Row],[Cumulative result]]/$B1</f>
        <v>0.25699999999999995</v>
      </c>
    </row>
    <row r="35" spans="1:16" x14ac:dyDescent="0.2">
      <c r="A35" s="13">
        <v>46155</v>
      </c>
      <c r="B35" s="14">
        <v>3.4</v>
      </c>
      <c r="C35" s="14">
        <f>C34+Data[[#This Row],[Result]]</f>
        <v>23.959999999999994</v>
      </c>
      <c r="D35" s="12">
        <f>IF(Data[[#This Row],[Result]]&gt;1,1,0)</f>
        <v>1</v>
      </c>
      <c r="E35" s="12" t="s">
        <v>35</v>
      </c>
      <c r="F35" s="12" t="s">
        <v>34</v>
      </c>
      <c r="G35" s="14" t="s">
        <v>22</v>
      </c>
      <c r="H35" s="13">
        <v>46155.667314814818</v>
      </c>
      <c r="I35" s="13">
        <v>46156.446863425925</v>
      </c>
      <c r="J35" s="14" t="s">
        <v>23</v>
      </c>
      <c r="K35" s="15">
        <f>Data[[#This Row],[Closing time]]-Data[[#This Row],[Opening time]]</f>
        <v>0.77954861110629281</v>
      </c>
      <c r="L35" s="18">
        <f>Data[[#This Row],[Duration]]*24</f>
        <v>18.709166666551027</v>
      </c>
      <c r="M35" s="17">
        <v>793.96</v>
      </c>
      <c r="N35" s="14">
        <v>1.31</v>
      </c>
      <c r="O35" s="14" t="s">
        <v>24</v>
      </c>
      <c r="P35" s="30">
        <f>Data[[#This Row],[Cumulative result]]/$B1</f>
        <v>0.29949999999999993</v>
      </c>
    </row>
    <row r="36" spans="1:16" x14ac:dyDescent="0.2">
      <c r="A36" s="13">
        <v>46156</v>
      </c>
      <c r="B36" s="14">
        <v>-2.3199999999999998</v>
      </c>
      <c r="C36" s="14">
        <f>C35+Data[[#This Row],[Result]]</f>
        <v>21.639999999999993</v>
      </c>
      <c r="D36" s="12">
        <f>IF(Data[[#This Row],[Result]]&gt;1,1,0)</f>
        <v>0</v>
      </c>
      <c r="E36" s="12" t="s">
        <v>31</v>
      </c>
      <c r="F36" s="12" t="s">
        <v>34</v>
      </c>
      <c r="G36" s="14" t="s">
        <v>25</v>
      </c>
      <c r="H36" s="13">
        <v>46156.417905092596</v>
      </c>
      <c r="I36" s="13">
        <v>46156.545081018521</v>
      </c>
      <c r="J36" s="14" t="s">
        <v>26</v>
      </c>
      <c r="K36" s="15">
        <f>Data[[#This Row],[Closing time]]-Data[[#This Row],[Opening time]]</f>
        <v>0.12717592592525762</v>
      </c>
      <c r="L36" s="18">
        <f>Data[[#This Row],[Duration]]*24</f>
        <v>3.0522222222061828</v>
      </c>
      <c r="M36" s="17">
        <v>916.16</v>
      </c>
      <c r="N36" s="14">
        <v>0.37</v>
      </c>
      <c r="O36" s="14" t="s">
        <v>24</v>
      </c>
      <c r="P36" s="30">
        <f>Data[[#This Row],[Cumulative result]]/$B1</f>
        <v>0.27049999999999991</v>
      </c>
    </row>
    <row r="37" spans="1:16" x14ac:dyDescent="0.2">
      <c r="A37" s="20">
        <v>46156</v>
      </c>
      <c r="B37" s="12">
        <v>5.15</v>
      </c>
      <c r="C37" s="14">
        <f>C36+Data[[#This Row],[Result]]</f>
        <v>26.789999999999992</v>
      </c>
      <c r="D37" s="12">
        <f>IF(Data[[#This Row],[Result]]&gt;1,1,0)</f>
        <v>1</v>
      </c>
      <c r="E37" s="12" t="s">
        <v>31</v>
      </c>
      <c r="F37" s="12" t="s">
        <v>34</v>
      </c>
      <c r="G37" s="12" t="s">
        <v>22</v>
      </c>
      <c r="H37" s="20">
        <v>46156.66741898148</v>
      </c>
      <c r="I37" s="20">
        <v>46156.713773148149</v>
      </c>
      <c r="J37" s="12" t="s">
        <v>26</v>
      </c>
      <c r="K37" s="21">
        <f>Data[[#This Row],[Closing time]]-Data[[#This Row],[Opening time]]</f>
        <v>4.6354166668606922E-2</v>
      </c>
      <c r="L37" s="18">
        <f>Data[[#This Row],[Duration]]*24</f>
        <v>1.1125000000465661</v>
      </c>
      <c r="M37" s="22">
        <v>410</v>
      </c>
      <c r="N37" s="14">
        <v>0.16</v>
      </c>
      <c r="O37" s="14" t="s">
        <v>24</v>
      </c>
      <c r="P37" s="30">
        <f>Data[[#This Row],[Cumulative result]]/$B1</f>
        <v>0.33487499999999992</v>
      </c>
    </row>
    <row r="38" spans="1:16" x14ac:dyDescent="0.2">
      <c r="A38" s="20">
        <v>46156</v>
      </c>
      <c r="B38" s="12">
        <v>-2.83</v>
      </c>
      <c r="C38" s="14">
        <f>C37+Data[[#This Row],[Result]]</f>
        <v>23.959999999999994</v>
      </c>
      <c r="D38" s="12">
        <f>IF(Data[[#This Row],[Result]]&gt;1,1,0)</f>
        <v>0</v>
      </c>
      <c r="E38" s="12" t="s">
        <v>31</v>
      </c>
      <c r="F38" s="12" t="s">
        <v>34</v>
      </c>
      <c r="G38" s="12" t="s">
        <v>25</v>
      </c>
      <c r="H38" s="20">
        <v>46156.738993055558</v>
      </c>
      <c r="I38" s="20">
        <v>46156.750104166669</v>
      </c>
      <c r="J38" s="12" t="s">
        <v>26</v>
      </c>
      <c r="K38" s="21">
        <f>Data[[#This Row],[Closing time]]-Data[[#This Row],[Opening time]]</f>
        <v>1.1111111110949423E-2</v>
      </c>
      <c r="L38" s="18">
        <f>Data[[#This Row],[Duration]]*24</f>
        <v>0.26666666666278616</v>
      </c>
      <c r="M38" s="22">
        <v>469</v>
      </c>
      <c r="N38" s="14">
        <v>0.19</v>
      </c>
      <c r="O38" s="14" t="s">
        <v>24</v>
      </c>
      <c r="P38" s="30">
        <f>Data[[#This Row],[Cumulative result]]/$B1</f>
        <v>0.29949999999999993</v>
      </c>
    </row>
    <row r="39" spans="1:16" x14ac:dyDescent="0.2">
      <c r="A39" s="20">
        <v>46157</v>
      </c>
      <c r="B39" s="12">
        <v>-5.43</v>
      </c>
      <c r="C39" s="14">
        <f>C38+Data[[#This Row],[Result]]</f>
        <v>18.529999999999994</v>
      </c>
      <c r="D39" s="12">
        <f>IF(Data[[#This Row],[Result]]&gt;1,1,0)</f>
        <v>0</v>
      </c>
      <c r="E39" s="12" t="s">
        <v>31</v>
      </c>
      <c r="F39" s="12" t="s">
        <v>34</v>
      </c>
      <c r="G39" s="12" t="s">
        <v>22</v>
      </c>
      <c r="H39" s="20">
        <v>46156.87709490741</v>
      </c>
      <c r="I39" s="20">
        <v>46157.290972222225</v>
      </c>
      <c r="J39" s="12" t="s">
        <v>26</v>
      </c>
      <c r="K39" s="21">
        <f>Data[[#This Row],[Closing time]]-Data[[#This Row],[Opening time]]</f>
        <v>0.41387731481518131</v>
      </c>
      <c r="L39" s="18">
        <f>Data[[#This Row],[Duration]]*24</f>
        <v>9.9330555555643514</v>
      </c>
      <c r="M39" s="22">
        <v>427</v>
      </c>
      <c r="N39" s="14">
        <v>0.3</v>
      </c>
      <c r="O39" s="14" t="s">
        <v>24</v>
      </c>
      <c r="P39" s="30">
        <f>Data[[#This Row],[Cumulative result]]/$B1</f>
        <v>0.23162499999999991</v>
      </c>
    </row>
    <row r="40" spans="1:16" x14ac:dyDescent="0.2">
      <c r="A40" s="20">
        <v>46157</v>
      </c>
      <c r="B40" s="12">
        <v>-0.61</v>
      </c>
      <c r="C40" s="14">
        <f>C39+Data[[#This Row],[Result]]</f>
        <v>17.919999999999995</v>
      </c>
      <c r="D40" s="12">
        <f>IF(Data[[#This Row],[Result]]&gt;1,1,0)</f>
        <v>0</v>
      </c>
      <c r="E40" s="12" t="s">
        <v>36</v>
      </c>
      <c r="F40" s="12" t="s">
        <v>34</v>
      </c>
      <c r="G40" s="12" t="s">
        <v>22</v>
      </c>
      <c r="H40" s="20">
        <v>46157.361111111109</v>
      </c>
      <c r="I40" s="20">
        <v>46157.55972222222</v>
      </c>
      <c r="J40" s="12" t="s">
        <v>26</v>
      </c>
      <c r="K40" s="21">
        <f>Data[[#This Row],[Closing time]]-Data[[#This Row],[Opening time]]</f>
        <v>0.19861111111094942</v>
      </c>
      <c r="L40" s="18">
        <f>Data[[#This Row],[Duration]]*24</f>
        <v>4.7666666666627862</v>
      </c>
      <c r="M40" s="22">
        <v>970</v>
      </c>
      <c r="N40" s="14">
        <v>0.68</v>
      </c>
      <c r="O40" s="14" t="s">
        <v>24</v>
      </c>
      <c r="P40" s="30">
        <f>Data[[#This Row],[Cumulative result]]/$B1</f>
        <v>0.22399999999999992</v>
      </c>
    </row>
    <row r="41" spans="1:16" x14ac:dyDescent="0.2">
      <c r="A41" s="20">
        <v>46157</v>
      </c>
      <c r="B41" s="12">
        <v>5.48</v>
      </c>
      <c r="C41" s="14">
        <f>C40+Data[[#This Row],[Result]]</f>
        <v>23.399999999999995</v>
      </c>
      <c r="D41" s="12">
        <f>IF(Data[[#This Row],[Result]]&gt;1,1,0)</f>
        <v>1</v>
      </c>
      <c r="E41" s="12" t="s">
        <v>36</v>
      </c>
      <c r="F41" s="12" t="s">
        <v>34</v>
      </c>
      <c r="G41" s="12" t="s">
        <v>25</v>
      </c>
      <c r="H41" s="20">
        <v>46157.56527777778</v>
      </c>
      <c r="I41" s="20">
        <v>46157.634722222225</v>
      </c>
      <c r="J41" s="12" t="s">
        <v>23</v>
      </c>
      <c r="K41" s="21">
        <f>Data[[#This Row],[Closing time]]-Data[[#This Row],[Opening time]]</f>
        <v>6.9444444445252884E-2</v>
      </c>
      <c r="L41" s="18">
        <f>Data[[#This Row],[Duration]]*24</f>
        <v>1.6666666666860692</v>
      </c>
      <c r="M41" s="22">
        <v>955</v>
      </c>
      <c r="N41" s="14">
        <v>0.67</v>
      </c>
      <c r="O41" s="14" t="s">
        <v>24</v>
      </c>
      <c r="P41" s="30">
        <f>Data[[#This Row],[Cumulative result]]/$B1</f>
        <v>0.29249999999999993</v>
      </c>
    </row>
    <row r="42" spans="1:16" x14ac:dyDescent="0.2">
      <c r="A42" s="20">
        <v>46157</v>
      </c>
      <c r="B42" s="12">
        <v>-3.39</v>
      </c>
      <c r="C42" s="14">
        <f>C41+Data[[#This Row],[Result]]</f>
        <v>20.009999999999994</v>
      </c>
      <c r="D42" s="12">
        <f>IF(Data[[#This Row],[Result]]&gt;1,1,0)</f>
        <v>0</v>
      </c>
      <c r="E42" s="12" t="s">
        <v>36</v>
      </c>
      <c r="F42" s="12" t="s">
        <v>34</v>
      </c>
      <c r="G42" s="12" t="s">
        <v>22</v>
      </c>
      <c r="H42" s="20">
        <v>46157.638194444444</v>
      </c>
      <c r="I42" s="20">
        <v>46157.645833333336</v>
      </c>
      <c r="J42" s="12" t="s">
        <v>26</v>
      </c>
      <c r="K42" s="21">
        <f>Data[[#This Row],[Closing time]]-Data[[#This Row],[Opening time]]</f>
        <v>7.6388888919609599E-3</v>
      </c>
      <c r="L42" s="18">
        <f>Data[[#This Row],[Duration]]*24</f>
        <v>0.18333333340706304</v>
      </c>
      <c r="M42" s="22">
        <v>995</v>
      </c>
      <c r="N42" s="14">
        <v>0.7</v>
      </c>
      <c r="O42" s="14" t="s">
        <v>24</v>
      </c>
      <c r="P42" s="30">
        <f>Data[[#This Row],[Cumulative result]]/$B1</f>
        <v>0.25012499999999993</v>
      </c>
    </row>
    <row r="43" spans="1:16" x14ac:dyDescent="0.2">
      <c r="A43" s="20">
        <v>46157</v>
      </c>
      <c r="B43" s="12">
        <v>-5.39</v>
      </c>
      <c r="C43" s="14">
        <f>C42+Data[[#This Row],[Result]]</f>
        <v>14.619999999999994</v>
      </c>
      <c r="D43" s="12">
        <f>IF(Data[[#This Row],[Result]]&gt;1,1,0)</f>
        <v>0</v>
      </c>
      <c r="E43" s="12" t="s">
        <v>36</v>
      </c>
      <c r="F43" s="12" t="s">
        <v>34</v>
      </c>
      <c r="G43" s="12" t="s">
        <v>22</v>
      </c>
      <c r="H43" s="20">
        <v>46157.660416666666</v>
      </c>
      <c r="I43" s="20">
        <v>46157.662499999999</v>
      </c>
      <c r="J43" s="12" t="s">
        <v>26</v>
      </c>
      <c r="K43" s="21">
        <f>Data[[#This Row],[Closing time]]-Data[[#This Row],[Opening time]]</f>
        <v>2.0833333328482695E-3</v>
      </c>
      <c r="L43" s="18">
        <f>Data[[#This Row],[Duration]]*24</f>
        <v>4.9999999988358468E-2</v>
      </c>
      <c r="M43" s="22">
        <v>1177</v>
      </c>
      <c r="N43" s="14">
        <v>0.83</v>
      </c>
      <c r="O43" s="14" t="s">
        <v>24</v>
      </c>
      <c r="P43" s="30">
        <f>Data[[#This Row],[Cumulative result]]/$B1</f>
        <v>0.18274999999999991</v>
      </c>
    </row>
    <row r="44" spans="1:16" x14ac:dyDescent="0.2">
      <c r="A44" s="20">
        <v>46157</v>
      </c>
      <c r="B44" s="12">
        <v>1.39</v>
      </c>
      <c r="C44" s="14">
        <f>C43+Data[[#This Row],[Result]]</f>
        <v>16.009999999999994</v>
      </c>
      <c r="D44" s="12">
        <f>IF(Data[[#This Row],[Result]]&gt;1,1,0)</f>
        <v>1</v>
      </c>
      <c r="E44" s="12" t="s">
        <v>36</v>
      </c>
      <c r="F44" s="12" t="s">
        <v>34</v>
      </c>
      <c r="G44" s="12" t="s">
        <v>22</v>
      </c>
      <c r="H44" s="24">
        <v>46157.662499999999</v>
      </c>
      <c r="I44" s="20">
        <v>46157.84652777778</v>
      </c>
      <c r="J44" s="12" t="s">
        <v>26</v>
      </c>
      <c r="K44" s="21">
        <f>Data[[#This Row],[Closing time]]-Data[[#This Row],[Opening time]]</f>
        <v>0.18402777778101154</v>
      </c>
      <c r="L44" s="18">
        <f>Data[[#This Row],[Duration]]*24</f>
        <v>4.4166666667442769</v>
      </c>
      <c r="M44" s="22">
        <v>1107.69</v>
      </c>
      <c r="N44" s="14">
        <v>0.84</v>
      </c>
      <c r="O44" s="14" t="s">
        <v>24</v>
      </c>
      <c r="P44" s="30">
        <f>Data[[#This Row],[Cumulative result]]/$B1</f>
        <v>0.20012499999999994</v>
      </c>
    </row>
    <row r="45" spans="1:16" x14ac:dyDescent="0.2">
      <c r="A45" s="20">
        <v>46158</v>
      </c>
      <c r="B45" s="12">
        <v>5.22</v>
      </c>
      <c r="C45" s="14">
        <f>C44+Data[[#This Row],[Result]]</f>
        <v>21.229999999999993</v>
      </c>
      <c r="D45" s="12">
        <f>IF(Data[[#This Row],[Result]]&gt;1,1,0)</f>
        <v>1</v>
      </c>
      <c r="E45" s="12" t="s">
        <v>41</v>
      </c>
      <c r="F45" s="12" t="s">
        <v>34</v>
      </c>
      <c r="G45" s="12" t="s">
        <v>25</v>
      </c>
      <c r="H45" s="20">
        <v>46158.282372685186</v>
      </c>
      <c r="I45" s="20">
        <v>46158.550983796296</v>
      </c>
      <c r="J45" s="12" t="s">
        <v>23</v>
      </c>
      <c r="K45" s="21">
        <f>Data[[#This Row],[Closing time]]-Data[[#This Row],[Opening time]]</f>
        <v>0.26861111111065838</v>
      </c>
      <c r="L45" s="18">
        <f>Data[[#This Row],[Duration]]*24</f>
        <v>6.4466666666558012</v>
      </c>
      <c r="M45" s="22">
        <v>508.05</v>
      </c>
      <c r="N45" s="14">
        <v>0.74</v>
      </c>
      <c r="O45" s="14" t="s">
        <v>24</v>
      </c>
      <c r="P45" s="30">
        <f>Data[[#This Row],[Cumulative result]]/$B1</f>
        <v>0.26537499999999992</v>
      </c>
    </row>
    <row r="46" spans="1:16" x14ac:dyDescent="0.2">
      <c r="A46" s="20">
        <v>46158</v>
      </c>
      <c r="B46" s="12">
        <v>-0.15</v>
      </c>
      <c r="C46" s="14">
        <f>C45+Data[[#This Row],[Result]]</f>
        <v>21.079999999999995</v>
      </c>
      <c r="D46" s="12">
        <f>IF(Data[[#This Row],[Result]]&gt;1,1,0)</f>
        <v>0</v>
      </c>
      <c r="E46" s="12" t="s">
        <v>41</v>
      </c>
      <c r="F46" s="12" t="s">
        <v>34</v>
      </c>
      <c r="G46" s="12" t="s">
        <v>22</v>
      </c>
      <c r="H46" s="20">
        <v>46158.554363425923</v>
      </c>
      <c r="I46" s="20">
        <v>46158.55878472222</v>
      </c>
      <c r="J46" s="12" t="s">
        <v>42</v>
      </c>
      <c r="K46" s="21">
        <f>Data[[#This Row],[Closing time]]-Data[[#This Row],[Opening time]]</f>
        <v>4.4212962966412306E-3</v>
      </c>
      <c r="L46" s="18">
        <f>Data[[#This Row],[Duration]]*24</f>
        <v>0.10611111111938953</v>
      </c>
      <c r="M46" s="22">
        <v>497.95</v>
      </c>
      <c r="N46" s="14">
        <v>0.7</v>
      </c>
      <c r="O46" s="14" t="s">
        <v>24</v>
      </c>
      <c r="P46" s="30">
        <f>Data[[#This Row],[Cumulative result]]/$B1</f>
        <v>0.26349999999999996</v>
      </c>
    </row>
    <row r="47" spans="1:16" x14ac:dyDescent="0.2">
      <c r="A47" s="20">
        <v>46158</v>
      </c>
      <c r="B47" s="12">
        <v>-1.87</v>
      </c>
      <c r="C47" s="14">
        <f>C46+Data[[#This Row],[Result]]</f>
        <v>19.209999999999994</v>
      </c>
      <c r="D47" s="12">
        <f>IF(Data[[#This Row],[Result]]&gt;1,1,0)</f>
        <v>0</v>
      </c>
      <c r="E47" s="12" t="s">
        <v>41</v>
      </c>
      <c r="F47" s="12" t="s">
        <v>34</v>
      </c>
      <c r="G47" s="12" t="s">
        <v>25</v>
      </c>
      <c r="H47" s="20">
        <v>46158.559560185182</v>
      </c>
      <c r="I47" s="20">
        <v>46158.607789351852</v>
      </c>
      <c r="J47" s="12" t="s">
        <v>26</v>
      </c>
      <c r="K47" s="21">
        <f>Data[[#This Row],[Closing time]]-Data[[#This Row],[Opening time]]</f>
        <v>4.8229166670353152E-2</v>
      </c>
      <c r="L47" s="18">
        <f>Data[[#This Row],[Duration]]*24</f>
        <v>1.1575000000884756</v>
      </c>
      <c r="M47" s="22">
        <v>498.16</v>
      </c>
      <c r="N47" s="14">
        <v>0.7</v>
      </c>
      <c r="O47" s="14" t="s">
        <v>24</v>
      </c>
      <c r="P47" s="30">
        <f>Data[[#This Row],[Cumulative result]]/$B1</f>
        <v>0.24012499999999992</v>
      </c>
    </row>
    <row r="48" spans="1:16" x14ac:dyDescent="0.2">
      <c r="A48" s="20">
        <v>46158</v>
      </c>
      <c r="B48" s="12">
        <v>-1.71</v>
      </c>
      <c r="C48" s="14">
        <f>C47+Data[[#This Row],[Result]]</f>
        <v>17.499999999999993</v>
      </c>
      <c r="D48" s="12">
        <f>IF(Data[[#This Row],[Result]]&gt;1,1,0)</f>
        <v>0</v>
      </c>
      <c r="E48" s="12" t="s">
        <v>41</v>
      </c>
      <c r="F48" s="12" t="s">
        <v>34</v>
      </c>
      <c r="G48" s="12" t="s">
        <v>22</v>
      </c>
      <c r="H48" s="20">
        <v>46158.660312499997</v>
      </c>
      <c r="I48" s="20">
        <v>46159.039837962962</v>
      </c>
      <c r="J48" s="12" t="s">
        <v>26</v>
      </c>
      <c r="K48" s="21">
        <f>Data[[#This Row],[Closing time]]-Data[[#This Row],[Opening time]]</f>
        <v>0.37952546296583023</v>
      </c>
      <c r="L48" s="18">
        <f>Data[[#This Row],[Duration]]*24</f>
        <v>9.1086111111799255</v>
      </c>
      <c r="M48" s="22">
        <v>497.99</v>
      </c>
      <c r="N48" s="14">
        <v>0.76</v>
      </c>
      <c r="O48" s="14" t="s">
        <v>24</v>
      </c>
      <c r="P48" s="30">
        <f>Data[[#This Row],[Cumulative result]]/$B1</f>
        <v>0.21874999999999992</v>
      </c>
    </row>
    <row r="49" spans="1:16" x14ac:dyDescent="0.2">
      <c r="A49" s="20">
        <v>46159</v>
      </c>
      <c r="B49" s="12">
        <v>-1.44</v>
      </c>
      <c r="C49" s="14">
        <f>C48+Data[[#This Row],[Result]]</f>
        <v>16.059999999999992</v>
      </c>
      <c r="D49" s="12">
        <f>IF(Data[[#This Row],[Result]]&gt;1,1,0)</f>
        <v>0</v>
      </c>
      <c r="E49" s="12" t="s">
        <v>37</v>
      </c>
      <c r="F49" s="12" t="s">
        <v>34</v>
      </c>
      <c r="G49" s="12" t="s">
        <v>22</v>
      </c>
      <c r="H49" s="20">
        <v>46159.311157407406</v>
      </c>
      <c r="I49" s="20">
        <v>46159.729421296295</v>
      </c>
      <c r="J49" s="12" t="s">
        <v>42</v>
      </c>
      <c r="K49" s="21">
        <f>Data[[#This Row],[Closing time]]-Data[[#This Row],[Opening time]]</f>
        <v>0.41826388888875954</v>
      </c>
      <c r="L49" s="18">
        <f>Data[[#This Row],[Duration]]*24</f>
        <v>10.038333333330229</v>
      </c>
      <c r="M49" s="22">
        <v>497.95</v>
      </c>
      <c r="N49" s="14">
        <v>0.76</v>
      </c>
      <c r="O49" s="14" t="s">
        <v>24</v>
      </c>
      <c r="P49" s="30">
        <f>Data[[#This Row],[Cumulative result]]/$B1</f>
        <v>0.2007499999999999</v>
      </c>
    </row>
    <row r="50" spans="1:16" x14ac:dyDescent="0.2">
      <c r="A50" s="20">
        <v>46159</v>
      </c>
      <c r="B50" s="12">
        <v>3.46</v>
      </c>
      <c r="C50" s="14">
        <f>C49+Data[[#This Row],[Result]]</f>
        <v>19.519999999999992</v>
      </c>
      <c r="D50" s="12">
        <f>IF(Data[[#This Row],[Result]]&gt;1,1,0)</f>
        <v>1</v>
      </c>
      <c r="E50" s="12" t="s">
        <v>37</v>
      </c>
      <c r="F50" s="12" t="s">
        <v>34</v>
      </c>
      <c r="G50" s="12" t="s">
        <v>25</v>
      </c>
      <c r="H50" s="20">
        <v>46159.73028935185</v>
      </c>
      <c r="I50" s="20">
        <v>46160.929756944446</v>
      </c>
      <c r="J50" s="12" t="s">
        <v>23</v>
      </c>
      <c r="K50" s="21">
        <f>Data[[#This Row],[Closing time]]-Data[[#This Row],[Opening time]]</f>
        <v>1.1994675925961928</v>
      </c>
      <c r="L50" s="18">
        <f>Data[[#This Row],[Duration]]*24</f>
        <v>28.787222222308628</v>
      </c>
      <c r="M50" s="22">
        <v>368.29</v>
      </c>
      <c r="N50" s="14">
        <v>0.59</v>
      </c>
      <c r="O50" s="14" t="s">
        <v>24</v>
      </c>
      <c r="P50" s="30">
        <f>Data[[#This Row],[Cumulative result]]/$B1</f>
        <v>0.24399999999999991</v>
      </c>
    </row>
    <row r="51" spans="1:16" x14ac:dyDescent="0.2">
      <c r="A51" s="20">
        <v>46161</v>
      </c>
      <c r="B51" s="12">
        <v>-1.4</v>
      </c>
      <c r="C51" s="14">
        <f>C50+Data[[#This Row],[Result]]</f>
        <v>18.119999999999994</v>
      </c>
      <c r="D51" s="12">
        <f>IF(Data[[#This Row],[Result]]&gt;1,1,0)</f>
        <v>0</v>
      </c>
      <c r="E51" s="12" t="s">
        <v>33</v>
      </c>
      <c r="F51" s="12" t="s">
        <v>34</v>
      </c>
      <c r="G51" s="12" t="s">
        <v>22</v>
      </c>
      <c r="H51" s="20">
        <v>46161.32230324074</v>
      </c>
      <c r="I51" s="20">
        <v>46161.393113425926</v>
      </c>
      <c r="J51" s="32" t="s">
        <v>26</v>
      </c>
      <c r="K51" s="21">
        <f>Data[[#This Row],[Closing time]]-Data[[#This Row],[Opening time]]</f>
        <v>7.0810185185109731E-2</v>
      </c>
      <c r="L51" s="18">
        <f>Data[[#This Row],[Duration]]*24</f>
        <v>1.6994444444426335</v>
      </c>
      <c r="M51" s="22">
        <v>215.83</v>
      </c>
      <c r="N51" s="14">
        <v>0.31</v>
      </c>
      <c r="O51" s="14" t="s">
        <v>24</v>
      </c>
      <c r="P51" s="30">
        <f>Data[[#This Row],[Cumulative result]]/$B1</f>
        <v>0.22649999999999992</v>
      </c>
    </row>
    <row r="52" spans="1:16" x14ac:dyDescent="0.2">
      <c r="A52" s="20">
        <v>46161</v>
      </c>
      <c r="B52" s="12">
        <v>-1.77</v>
      </c>
      <c r="C52" s="14">
        <f>C51+Data[[#This Row],[Result]]</f>
        <v>16.349999999999994</v>
      </c>
      <c r="D52" s="12">
        <f>IF(Data[[#This Row],[Result]]&gt;1,1,0)</f>
        <v>0</v>
      </c>
      <c r="E52" s="12" t="s">
        <v>33</v>
      </c>
      <c r="F52" s="12" t="s">
        <v>34</v>
      </c>
      <c r="G52" s="12" t="s">
        <v>25</v>
      </c>
      <c r="H52" s="20">
        <v>46161.394803240742</v>
      </c>
      <c r="I52" s="20">
        <v>46161.443055555559</v>
      </c>
      <c r="J52" s="12" t="s">
        <v>42</v>
      </c>
      <c r="K52" s="21">
        <f>Data[[#This Row],[Closing time]]-Data[[#This Row],[Opening time]]</f>
        <v>4.8252314816636499E-2</v>
      </c>
      <c r="L52" s="18">
        <f>Data[[#This Row],[Duration]]*24</f>
        <v>1.158055555599276</v>
      </c>
      <c r="M52" s="22">
        <v>513.21</v>
      </c>
      <c r="N52" s="14">
        <v>0.72</v>
      </c>
      <c r="O52" s="14" t="s">
        <v>24</v>
      </c>
      <c r="P52" s="30">
        <f>Data[[#This Row],[Cumulative result]]/$B1</f>
        <v>0.20437499999999992</v>
      </c>
    </row>
    <row r="53" spans="1:16" x14ac:dyDescent="0.2">
      <c r="A53" s="20">
        <v>46161</v>
      </c>
      <c r="B53" s="12">
        <v>-2.94</v>
      </c>
      <c r="C53" s="14">
        <f>C52+Data[[#This Row],[Result]]</f>
        <v>13.409999999999995</v>
      </c>
      <c r="D53" s="12">
        <f>IF(Data[[#This Row],[Result]]&gt;1,1,0)</f>
        <v>0</v>
      </c>
      <c r="E53" s="12" t="s">
        <v>33</v>
      </c>
      <c r="F53" s="12" t="s">
        <v>34</v>
      </c>
      <c r="G53" s="12" t="s">
        <v>25</v>
      </c>
      <c r="H53" s="20">
        <v>46161.443807870368</v>
      </c>
      <c r="I53" s="20">
        <v>46161.456261574072</v>
      </c>
      <c r="J53" s="12" t="s">
        <v>26</v>
      </c>
      <c r="K53" s="21">
        <f>Data[[#This Row],[Closing time]]-Data[[#This Row],[Opening time]]</f>
        <v>1.2453703704522923E-2</v>
      </c>
      <c r="L53" s="18">
        <f>Data[[#This Row],[Duration]]*24</f>
        <v>0.29888888890855014</v>
      </c>
      <c r="M53" s="22">
        <v>991.12</v>
      </c>
      <c r="N53" s="14">
        <v>1.39</v>
      </c>
      <c r="O53" s="14" t="s">
        <v>24</v>
      </c>
      <c r="P53" s="30">
        <f>Data[[#This Row],[Cumulative result]]/$B1</f>
        <v>0.16762499999999994</v>
      </c>
    </row>
    <row r="54" spans="1:16" x14ac:dyDescent="0.2">
      <c r="A54" s="20">
        <v>46161</v>
      </c>
      <c r="B54" s="12">
        <v>-1.32</v>
      </c>
      <c r="C54" s="14">
        <f>C53+Data[[#This Row],[Result]]</f>
        <v>12.089999999999995</v>
      </c>
      <c r="D54" s="12">
        <f>IF(Data[[#This Row],[Result]]&gt;1,1,0)</f>
        <v>0</v>
      </c>
      <c r="E54" s="12" t="s">
        <v>33</v>
      </c>
      <c r="F54" s="12" t="s">
        <v>34</v>
      </c>
      <c r="G54" s="12" t="s">
        <v>25</v>
      </c>
      <c r="H54" s="20">
        <v>46161.565069444441</v>
      </c>
      <c r="I54" s="20">
        <v>46161.566793981481</v>
      </c>
      <c r="J54" s="12" t="s">
        <v>26</v>
      </c>
      <c r="K54" s="21">
        <f>Data[[#This Row],[Closing time]]-Data[[#This Row],[Opening time]]</f>
        <v>1.7245370399905369E-3</v>
      </c>
      <c r="L54" s="18">
        <f>Data[[#This Row],[Duration]]*24</f>
        <v>4.1388888959772885E-2</v>
      </c>
      <c r="M54" s="22">
        <v>604.01</v>
      </c>
      <c r="N54" s="14">
        <v>0.84</v>
      </c>
      <c r="O54" s="14" t="s">
        <v>24</v>
      </c>
      <c r="P54" s="30">
        <f>Data[[#This Row],[Cumulative result]]/$B1</f>
        <v>0.15112499999999993</v>
      </c>
    </row>
    <row r="55" spans="1:16" x14ac:dyDescent="0.2">
      <c r="A55" s="20">
        <v>46161</v>
      </c>
      <c r="B55" s="12">
        <v>-1.03</v>
      </c>
      <c r="C55" s="14">
        <f>C54+Data[[#This Row],[Result]]</f>
        <v>11.059999999999995</v>
      </c>
      <c r="D55" s="12">
        <f>IF(Data[[#This Row],[Result]]&gt;1,1,0)</f>
        <v>0</v>
      </c>
      <c r="E55" s="12" t="s">
        <v>33</v>
      </c>
      <c r="F55" s="12" t="s">
        <v>34</v>
      </c>
      <c r="G55" s="12" t="s">
        <v>25</v>
      </c>
      <c r="H55" s="20">
        <v>46161.596064814818</v>
      </c>
      <c r="I55" s="20">
        <v>46161.684166666666</v>
      </c>
      <c r="J55" s="12" t="s">
        <v>26</v>
      </c>
      <c r="K55" s="21">
        <f>Data[[#This Row],[Closing time]]-Data[[#This Row],[Opening time]]</f>
        <v>8.8101851848477963E-2</v>
      </c>
      <c r="L55" s="18">
        <f>Data[[#This Row],[Duration]]*24</f>
        <v>2.1144444443634711</v>
      </c>
      <c r="M55" s="22">
        <v>592.59</v>
      </c>
      <c r="N55" s="14">
        <v>0.83</v>
      </c>
      <c r="O55" s="14" t="s">
        <v>24</v>
      </c>
      <c r="P55" s="30">
        <f>Data[[#This Row],[Cumulative result]]/$B1</f>
        <v>0.13824999999999993</v>
      </c>
    </row>
    <row r="56" spans="1:16" x14ac:dyDescent="0.2">
      <c r="A56" s="20">
        <v>46161</v>
      </c>
      <c r="B56" s="12">
        <v>-1.73</v>
      </c>
      <c r="C56" s="14">
        <f>C55+Data[[#This Row],[Result]]</f>
        <v>9.3299999999999947</v>
      </c>
      <c r="D56" s="12">
        <f>IF(Data[[#This Row],[Result]]&gt;1,1,0)</f>
        <v>0</v>
      </c>
      <c r="E56" s="12" t="s">
        <v>33</v>
      </c>
      <c r="F56" s="12" t="s">
        <v>34</v>
      </c>
      <c r="G56" s="12" t="s">
        <v>25</v>
      </c>
      <c r="H56" s="20">
        <v>46161.763645833336</v>
      </c>
      <c r="I56" s="20">
        <v>46162.21607638889</v>
      </c>
      <c r="J56" s="12" t="s">
        <v>26</v>
      </c>
      <c r="K56" s="21">
        <f>Data[[#This Row],[Closing time]]-Data[[#This Row],[Opening time]]</f>
        <v>0.45243055555329192</v>
      </c>
      <c r="L56" s="18">
        <f>Data[[#This Row],[Duration]]*24</f>
        <v>10.858333333279006</v>
      </c>
      <c r="M56" s="22">
        <v>583.05999999999995</v>
      </c>
      <c r="N56" s="14">
        <v>0.86</v>
      </c>
      <c r="O56" s="14" t="s">
        <v>24</v>
      </c>
      <c r="P56" s="30">
        <f>Data[[#This Row],[Cumulative result]]/$B1</f>
        <v>0.11662499999999994</v>
      </c>
    </row>
    <row r="57" spans="1:16" x14ac:dyDescent="0.2">
      <c r="A57" s="20">
        <v>46162</v>
      </c>
      <c r="B57" s="35">
        <v>0.68</v>
      </c>
      <c r="C57" s="14">
        <f>C56+Data[[#This Row],[Result]]</f>
        <v>10.009999999999994</v>
      </c>
      <c r="D57" s="12">
        <f>IF(Data[[#This Row],[Result]]&gt;1,1,0)</f>
        <v>0</v>
      </c>
      <c r="E57" s="35" t="s">
        <v>35</v>
      </c>
      <c r="F57" s="35" t="s">
        <v>34</v>
      </c>
      <c r="G57" s="12" t="s">
        <v>22</v>
      </c>
      <c r="H57" s="20">
        <v>46162.230949074074</v>
      </c>
      <c r="I57" s="20">
        <v>46162.483865740738</v>
      </c>
      <c r="J57" s="12" t="s">
        <v>23</v>
      </c>
      <c r="K57" s="21">
        <f>Data[[#This Row],[Closing time]]-Data[[#This Row],[Opening time]]</f>
        <v>0.25291666666453239</v>
      </c>
      <c r="L57" s="18">
        <f>Data[[#This Row],[Duration]]*24</f>
        <v>6.0699999999487773</v>
      </c>
      <c r="M57" s="22">
        <v>568.79</v>
      </c>
      <c r="N57" s="14">
        <v>0.84</v>
      </c>
      <c r="O57" s="14" t="s">
        <v>24</v>
      </c>
      <c r="P57" s="30">
        <f>Data[[#This Row],[Cumulative result]]/$B1</f>
        <v>0.12512499999999993</v>
      </c>
    </row>
    <row r="58" spans="1:16" x14ac:dyDescent="0.2">
      <c r="A58" s="20">
        <v>46162</v>
      </c>
      <c r="B58" s="35">
        <v>-1.23</v>
      </c>
      <c r="C58" s="14">
        <f>C57+Data[[#This Row],[Result]]</f>
        <v>8.779999999999994</v>
      </c>
      <c r="D58" s="12">
        <f>IF(Data[[#This Row],[Result]]&gt;1,1,0)</f>
        <v>0</v>
      </c>
      <c r="E58" s="35" t="s">
        <v>35</v>
      </c>
      <c r="F58" s="35" t="s">
        <v>34</v>
      </c>
      <c r="G58" s="12" t="s">
        <v>22</v>
      </c>
      <c r="H58" s="20">
        <v>46162.518275462964</v>
      </c>
      <c r="I58" s="20">
        <v>46162.559351851851</v>
      </c>
      <c r="J58" s="12" t="s">
        <v>26</v>
      </c>
      <c r="K58" s="21">
        <f>Data[[#This Row],[Closing time]]-Data[[#This Row],[Opening time]]</f>
        <v>4.107638888672227E-2</v>
      </c>
      <c r="L58" s="18">
        <f>Data[[#This Row],[Duration]]*24</f>
        <v>0.98583333328133449</v>
      </c>
      <c r="M58" s="22">
        <v>568.07000000000005</v>
      </c>
      <c r="N58" s="14">
        <v>0.81</v>
      </c>
      <c r="O58" s="14" t="s">
        <v>24</v>
      </c>
      <c r="P58" s="30">
        <f>Data[[#This Row],[Cumulative result]]/$B1</f>
        <v>0.10974999999999993</v>
      </c>
    </row>
    <row r="59" spans="1:16" x14ac:dyDescent="0.2">
      <c r="A59" s="20">
        <v>46162</v>
      </c>
      <c r="B59" s="35">
        <v>-7.81</v>
      </c>
      <c r="C59" s="14">
        <f>C58+Data[[#This Row],[Result]]</f>
        <v>0.96999999999999442</v>
      </c>
      <c r="D59" s="12">
        <f>IF(Data[[#This Row],[Result]]&gt;1,1,0)</f>
        <v>0</v>
      </c>
      <c r="E59" s="35" t="s">
        <v>35</v>
      </c>
      <c r="F59" s="35" t="s">
        <v>34</v>
      </c>
      <c r="G59" s="12" t="s">
        <v>25</v>
      </c>
      <c r="H59" s="20">
        <v>46162.564872685187</v>
      </c>
      <c r="I59" s="20">
        <v>46162.63590277778</v>
      </c>
      <c r="J59" s="12" t="s">
        <v>26</v>
      </c>
      <c r="K59" s="21">
        <f>Data[[#This Row],[Closing time]]-Data[[#This Row],[Opening time]]</f>
        <v>7.1030092592991423E-2</v>
      </c>
      <c r="L59" s="18">
        <f>Data[[#This Row],[Duration]]*24</f>
        <v>1.7047222222317941</v>
      </c>
      <c r="M59" s="22">
        <v>1232.0899999999999</v>
      </c>
      <c r="N59" s="14">
        <v>1.74</v>
      </c>
      <c r="O59" s="14" t="s">
        <v>24</v>
      </c>
      <c r="P59" s="30">
        <f>Data[[#This Row],[Cumulative result]]/$B1</f>
        <v>1.2124999999999931E-2</v>
      </c>
    </row>
  </sheetData>
  <phoneticPr fontId="10" type="noConversion"/>
  <conditionalFormatting sqref="B5:D59">
    <cfRule type="cellIs" dxfId="0" priority="1" operator="lessThan">
      <formula>1</formula>
    </cfRule>
  </conditionalFormatting>
  <pageMargins left="0.7" right="0.7" top="0.75" bottom="0.75" header="0.3" footer="0.3"/>
  <pageSetup paperSize="9" orientation="portrait" horizontalDpi="0" verticalDpi="0"/>
  <headerFooter>
    <oddFooter>&amp;C_x000D_&amp;1#&amp;"Aptos"&amp;10&amp;K000000 Internal use only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2cf91e20-ca8e-489c-ae8a-6c7e80782e4a}" enabled="1" method="Privileged" siteId="{f4f6b57d-47a1-4875-bd9b-4260c557ccbf}" contentBits="2" removed="0"/>
  <clbl:label id="{e7d4f798-c80d-4097-865e-5490a292574e}" enabled="1" method="Standard" siteId="{6e0b3bc1-0ced-4b99-b4fd-ea205864dd6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Marine GUILLON</dc:creator>
  <cp:lastModifiedBy>Christian HERRERO</cp:lastModifiedBy>
  <dcterms:created xsi:type="dcterms:W3CDTF">2026-05-14T10:00:11Z</dcterms:created>
  <dcterms:modified xsi:type="dcterms:W3CDTF">2026-05-20T20:30:43Z</dcterms:modified>
</cp:coreProperties>
</file>